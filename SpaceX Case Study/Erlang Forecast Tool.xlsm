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https://d.docs.live.net/c204e42aad94d23f/Documents/SpaceX Case Study/"/>
    </mc:Choice>
  </mc:AlternateContent>
  <xr:revisionPtr revIDLastSave="30" documentId="8_{530A246C-B6BE-4BD4-957B-A5ABF936CEA3}" xr6:coauthVersionLast="47" xr6:coauthVersionMax="47" xr10:uidLastSave="{F93EC2F0-7FD3-4B5B-92DE-0EFE97DEF46A}"/>
  <bookViews>
    <workbookView xWindow="-28920" yWindow="-330" windowWidth="29040" windowHeight="15720" activeTab="1" xr2:uid="{00000000-000D-0000-FFFF-FFFF00000000}"/>
  </bookViews>
  <sheets>
    <sheet name=" Requested Forecasts" sheetId="16" r:id="rId1"/>
    <sheet name="FTE Req" sheetId="4" r:id="rId2"/>
    <sheet name="Volume Summary" sheetId="6" r:id="rId3"/>
    <sheet name="Formula Info" sheetId="3" r:id="rId4"/>
    <sheet name="Dist" sheetId="7" r:id="rId5"/>
    <sheet name="Pivot Tables" sheetId="15" r:id="rId6"/>
    <sheet name="December by Interval" sheetId="13" r:id="rId7"/>
  </sheets>
  <functionGroups builtInGroupCount="19"/>
  <calcPr calcId="191028"/>
  <pivotCaches>
    <pivotCache cacheId="0" r:id="rId8"/>
    <pivotCache cacheId="1" r:id="rId9"/>
    <pivotCache cacheId="2"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2" i="16" l="1"/>
  <c r="I2" i="16"/>
  <c r="H2" i="16"/>
  <c r="G2" i="16"/>
  <c r="F2" i="16"/>
  <c r="E2" i="16"/>
  <c r="A5" i="6"/>
  <c r="A6" i="6"/>
  <c r="A7" i="6"/>
  <c r="A8" i="6"/>
  <c r="A9" i="6"/>
  <c r="A10" i="6"/>
  <c r="A11" i="6"/>
  <c r="A12" i="6"/>
  <c r="A13" i="6"/>
  <c r="A14" i="6"/>
  <c r="A15" i="6"/>
  <c r="A16" i="6"/>
  <c r="A17" i="6"/>
  <c r="A18" i="6"/>
  <c r="A19" i="6"/>
  <c r="A20" i="6"/>
  <c r="A21" i="6"/>
  <c r="A22" i="6"/>
  <c r="A23" i="6"/>
  <c r="A24" i="6"/>
  <c r="A25" i="6"/>
  <c r="A4" i="6"/>
  <c r="E20" i="6"/>
  <c r="E24" i="6"/>
  <c r="E15" i="6"/>
  <c r="E10" i="6"/>
  <c r="E6" i="6"/>
  <c r="V32" i="7" l="1"/>
  <c r="B22" i="6"/>
  <c r="B23" i="6"/>
  <c r="B24" i="6"/>
  <c r="B25" i="6"/>
  <c r="B6" i="6"/>
  <c r="B7" i="6"/>
  <c r="B8" i="6"/>
  <c r="B9" i="6"/>
  <c r="B10" i="6"/>
  <c r="B11" i="6"/>
  <c r="B12" i="6"/>
  <c r="B13" i="6"/>
  <c r="B14" i="6"/>
  <c r="B15" i="6"/>
  <c r="B16" i="6"/>
  <c r="B17" i="6"/>
  <c r="B18" i="6"/>
  <c r="B19" i="6"/>
  <c r="B20" i="6"/>
  <c r="B21" i="6"/>
  <c r="B4" i="6"/>
  <c r="C4" i="6" s="1"/>
  <c r="B5" i="6"/>
  <c r="M206" i="13" a="1"/>
  <c r="M206" i="13" s="1"/>
  <c r="M207" i="13" a="1"/>
  <c r="M207" i="13" s="1"/>
  <c r="M208" i="13" a="1"/>
  <c r="M208" i="13" s="1"/>
  <c r="M209" i="13" a="1"/>
  <c r="M209" i="13" s="1"/>
  <c r="M210" i="13" a="1"/>
  <c r="M210" i="13" s="1"/>
  <c r="M211" i="13" a="1"/>
  <c r="M211" i="13" s="1"/>
  <c r="M212" i="13" a="1"/>
  <c r="M212" i="13" s="1"/>
  <c r="M213" i="13" a="1"/>
  <c r="M213" i="13" s="1"/>
  <c r="M214" i="13" a="1"/>
  <c r="M214" i="13" s="1"/>
  <c r="X206" i="13"/>
  <c r="Y206" i="13"/>
  <c r="X207" i="13"/>
  <c r="Y207" i="13"/>
  <c r="X208" i="13"/>
  <c r="Y208" i="13"/>
  <c r="X209" i="13"/>
  <c r="Y209" i="13"/>
  <c r="X210" i="13"/>
  <c r="Y210" i="13"/>
  <c r="X211" i="13"/>
  <c r="Y211" i="13"/>
  <c r="X212" i="13"/>
  <c r="Y212" i="13"/>
  <c r="X213" i="13"/>
  <c r="Y213" i="13"/>
  <c r="X214" i="13"/>
  <c r="Y214" i="13"/>
  <c r="W206" i="13"/>
  <c r="V206" i="13" s="1"/>
  <c r="W207" i="13"/>
  <c r="V207" i="13" s="1"/>
  <c r="W208" i="13"/>
  <c r="V208" i="13" s="1"/>
  <c r="W209" i="13"/>
  <c r="V209" i="13" s="1"/>
  <c r="W210" i="13"/>
  <c r="V210" i="13" s="1"/>
  <c r="W211" i="13"/>
  <c r="V211" i="13" s="1"/>
  <c r="W212" i="13"/>
  <c r="V212" i="13" s="1"/>
  <c r="W213" i="13"/>
  <c r="V213" i="13" s="1"/>
  <c r="W214" i="13"/>
  <c r="V214" i="13" s="1"/>
  <c r="Y199" i="13"/>
  <c r="Y200" i="13"/>
  <c r="Y201" i="13"/>
  <c r="Y202" i="13"/>
  <c r="Y203" i="13"/>
  <c r="Y204" i="13"/>
  <c r="Y205" i="13"/>
  <c r="M198" i="13" a="1"/>
  <c r="M198" i="13" s="1"/>
  <c r="M199" i="13" a="1"/>
  <c r="M199" i="13" s="1"/>
  <c r="M200" i="13" a="1"/>
  <c r="M200" i="13" s="1"/>
  <c r="M201" i="13" a="1"/>
  <c r="M201" i="13" s="1"/>
  <c r="M202" i="13" a="1"/>
  <c r="M202" i="13" s="1"/>
  <c r="M203" i="13" a="1"/>
  <c r="M203" i="13" s="1"/>
  <c r="M204" i="13" a="1"/>
  <c r="M204" i="13" s="1"/>
  <c r="M205" i="13" a="1"/>
  <c r="M205" i="13" s="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A198" i="13" s="1" a="1"/>
  <c r="A198" i="13" s="1"/>
  <c r="C199" i="13"/>
  <c r="A199" i="13" s="1" a="1"/>
  <c r="A199" i="13" s="1"/>
  <c r="C200" i="13"/>
  <c r="A200" i="13" s="1" a="1"/>
  <c r="A200" i="13" s="1"/>
  <c r="C201" i="13"/>
  <c r="A201" i="13" s="1" a="1"/>
  <c r="A201" i="13" s="1"/>
  <c r="C202" i="13"/>
  <c r="A202" i="13" s="1" a="1"/>
  <c r="A202" i="13" s="1"/>
  <c r="C203" i="13"/>
  <c r="A203" i="13" s="1" a="1"/>
  <c r="A203" i="13" s="1"/>
  <c r="C204" i="13"/>
  <c r="A204" i="13" s="1" a="1"/>
  <c r="A204" i="13" s="1"/>
  <c r="C205" i="13"/>
  <c r="A205" i="13" s="1" a="1"/>
  <c r="A205" i="13" s="1"/>
  <c r="C206" i="13"/>
  <c r="A206" i="13" s="1" a="1"/>
  <c r="A206" i="13" s="1"/>
  <c r="C207" i="13"/>
  <c r="A207" i="13" s="1" a="1"/>
  <c r="A207" i="13" s="1"/>
  <c r="C208" i="13"/>
  <c r="A208" i="13" s="1" a="1"/>
  <c r="A208" i="13" s="1"/>
  <c r="C209" i="13"/>
  <c r="A209" i="13" s="1" a="1"/>
  <c r="A209" i="13" s="1"/>
  <c r="C210" i="13"/>
  <c r="A210" i="13" s="1" a="1"/>
  <c r="A210" i="13" s="1"/>
  <c r="C211" i="13"/>
  <c r="A211" i="13" s="1" a="1"/>
  <c r="A211" i="13" s="1"/>
  <c r="C212" i="13"/>
  <c r="A212" i="13" s="1" a="1"/>
  <c r="A212" i="13" s="1"/>
  <c r="C213" i="13"/>
  <c r="A213" i="13" s="1" a="1"/>
  <c r="A213" i="13" s="1"/>
  <c r="C214" i="13"/>
  <c r="A214" i="13" s="1" a="1"/>
  <c r="A214" i="13" s="1"/>
  <c r="C215" i="13"/>
  <c r="A215" i="13" s="1" a="1"/>
  <c r="A215" i="13" s="1"/>
  <c r="C216" i="13"/>
  <c r="A216" i="13" s="1" a="1"/>
  <c r="A216" i="13" s="1"/>
  <c r="C2" i="13"/>
  <c r="C5" i="6" l="1"/>
  <c r="C6" i="6" s="1"/>
  <c r="C7" i="6" s="1"/>
  <c r="C8" i="6" s="1"/>
  <c r="D4" i="6"/>
  <c r="D5" i="6" s="1"/>
  <c r="D6" i="6" s="1"/>
  <c r="D7" i="6" s="1"/>
  <c r="D8" i="6" s="1"/>
  <c r="D9" i="6" s="1"/>
  <c r="M3" i="13" a="1"/>
  <c r="M3" i="13" s="1"/>
  <c r="M4" i="13" a="1"/>
  <c r="M4" i="13" s="1"/>
  <c r="M5" i="13" a="1"/>
  <c r="M5" i="13" s="1"/>
  <c r="M6" i="13" a="1"/>
  <c r="M6" i="13" s="1"/>
  <c r="M7" i="13" a="1"/>
  <c r="M7" i="13" s="1"/>
  <c r="M8" i="13" a="1"/>
  <c r="M8" i="13" s="1"/>
  <c r="M9" i="13" a="1"/>
  <c r="M9" i="13" s="1"/>
  <c r="M10" i="13" a="1"/>
  <c r="M10" i="13" s="1"/>
  <c r="M11" i="13" a="1"/>
  <c r="M11" i="13" s="1"/>
  <c r="M12" i="13" a="1"/>
  <c r="M12" i="13" s="1"/>
  <c r="M13" i="13" a="1"/>
  <c r="M13" i="13" s="1"/>
  <c r="M14" i="13" a="1"/>
  <c r="M14" i="13" s="1"/>
  <c r="M15" i="13" a="1"/>
  <c r="M15" i="13" s="1"/>
  <c r="M16" i="13" a="1"/>
  <c r="M16" i="13" s="1"/>
  <c r="M17" i="13" a="1"/>
  <c r="M17" i="13" s="1"/>
  <c r="M18" i="13" a="1"/>
  <c r="M18" i="13" s="1"/>
  <c r="M19" i="13" a="1"/>
  <c r="M19" i="13" s="1"/>
  <c r="M20" i="13" a="1"/>
  <c r="M20" i="13" s="1"/>
  <c r="M21" i="13" a="1"/>
  <c r="M21" i="13" s="1"/>
  <c r="M22" i="13" a="1"/>
  <c r="M22" i="13" s="1"/>
  <c r="M23" i="13" a="1"/>
  <c r="M23" i="13" s="1"/>
  <c r="M24" i="13" a="1"/>
  <c r="M24" i="13" s="1"/>
  <c r="M25" i="13" a="1"/>
  <c r="M25" i="13" s="1"/>
  <c r="M26" i="13" a="1"/>
  <c r="M26" i="13" s="1"/>
  <c r="M27" i="13" a="1"/>
  <c r="M27" i="13" s="1"/>
  <c r="M28" i="13" a="1"/>
  <c r="M28" i="13" s="1"/>
  <c r="M29" i="13" a="1"/>
  <c r="M29" i="13" s="1"/>
  <c r="M30" i="13" a="1"/>
  <c r="M30" i="13" s="1"/>
  <c r="M31" i="13" a="1"/>
  <c r="M31" i="13" s="1"/>
  <c r="M32" i="13" a="1"/>
  <c r="M32" i="13" s="1"/>
  <c r="M33" i="13" a="1"/>
  <c r="M33" i="13" s="1"/>
  <c r="M34" i="13" a="1"/>
  <c r="M34" i="13" s="1"/>
  <c r="M35" i="13" a="1"/>
  <c r="M35" i="13" s="1"/>
  <c r="M36" i="13" a="1"/>
  <c r="M36" i="13" s="1"/>
  <c r="M37" i="13" a="1"/>
  <c r="M37" i="13" s="1"/>
  <c r="M38" i="13" a="1"/>
  <c r="M38" i="13" s="1"/>
  <c r="M39" i="13" a="1"/>
  <c r="M39" i="13" s="1"/>
  <c r="M40" i="13" a="1"/>
  <c r="M40" i="13" s="1"/>
  <c r="M41" i="13" a="1"/>
  <c r="M41" i="13" s="1"/>
  <c r="M42" i="13" a="1"/>
  <c r="M42" i="13" s="1"/>
  <c r="M43" i="13" a="1"/>
  <c r="M43" i="13" s="1"/>
  <c r="M44" i="13" a="1"/>
  <c r="M44" i="13" s="1"/>
  <c r="M45" i="13" a="1"/>
  <c r="M45" i="13" s="1"/>
  <c r="M46" i="13" a="1"/>
  <c r="M46" i="13" s="1"/>
  <c r="M47" i="13" a="1"/>
  <c r="M47" i="13" s="1"/>
  <c r="M48" i="13" a="1"/>
  <c r="M48" i="13" s="1"/>
  <c r="M49" i="13" a="1"/>
  <c r="M49" i="13" s="1"/>
  <c r="M50" i="13" a="1"/>
  <c r="M50" i="13" s="1"/>
  <c r="M51" i="13" a="1"/>
  <c r="M51" i="13" s="1"/>
  <c r="M52" i="13" a="1"/>
  <c r="M52" i="13" s="1"/>
  <c r="M53" i="13" a="1"/>
  <c r="M53" i="13" s="1"/>
  <c r="M54" i="13" a="1"/>
  <c r="M54" i="13" s="1"/>
  <c r="M55" i="13" a="1"/>
  <c r="M55" i="13" s="1"/>
  <c r="M56" i="13" a="1"/>
  <c r="M56" i="13" s="1"/>
  <c r="M57" i="13" a="1"/>
  <c r="M57" i="13" s="1"/>
  <c r="M58" i="13" a="1"/>
  <c r="M58" i="13" s="1"/>
  <c r="M59" i="13" a="1"/>
  <c r="M59" i="13" s="1"/>
  <c r="M60" i="13" a="1"/>
  <c r="M60" i="13" s="1"/>
  <c r="M61" i="13" a="1"/>
  <c r="M61" i="13" s="1"/>
  <c r="M62" i="13" a="1"/>
  <c r="M62" i="13" s="1"/>
  <c r="M63" i="13" a="1"/>
  <c r="M63" i="13" s="1"/>
  <c r="M64" i="13" a="1"/>
  <c r="M64" i="13" s="1"/>
  <c r="M65" i="13" a="1"/>
  <c r="M65" i="13" s="1"/>
  <c r="M66" i="13" a="1"/>
  <c r="M66" i="13" s="1"/>
  <c r="M67" i="13" a="1"/>
  <c r="M67" i="13" s="1"/>
  <c r="M68" i="13" a="1"/>
  <c r="M68" i="13" s="1"/>
  <c r="M69" i="13" a="1"/>
  <c r="M69" i="13" s="1"/>
  <c r="M70" i="13" a="1"/>
  <c r="M70" i="13" s="1"/>
  <c r="M71" i="13" a="1"/>
  <c r="M71" i="13" s="1"/>
  <c r="M72" i="13" a="1"/>
  <c r="M72" i="13" s="1"/>
  <c r="M73" i="13" a="1"/>
  <c r="M73" i="13" s="1"/>
  <c r="M74" i="13" a="1"/>
  <c r="M74" i="13" s="1"/>
  <c r="M75" i="13" a="1"/>
  <c r="M75" i="13" s="1"/>
  <c r="M76" i="13" a="1"/>
  <c r="M76" i="13" s="1"/>
  <c r="M77" i="13" a="1"/>
  <c r="M77" i="13" s="1"/>
  <c r="M78" i="13" a="1"/>
  <c r="M78" i="13" s="1"/>
  <c r="M79" i="13" a="1"/>
  <c r="M79" i="13" s="1"/>
  <c r="M80" i="13" a="1"/>
  <c r="M80" i="13" s="1"/>
  <c r="M81" i="13" a="1"/>
  <c r="M81" i="13" s="1"/>
  <c r="M82" i="13" a="1"/>
  <c r="M82" i="13" s="1"/>
  <c r="M83" i="13" a="1"/>
  <c r="M83" i="13" s="1"/>
  <c r="M84" i="13" a="1"/>
  <c r="M84" i="13" s="1"/>
  <c r="M85" i="13" a="1"/>
  <c r="M85" i="13" s="1"/>
  <c r="M86" i="13" a="1"/>
  <c r="M86" i="13" s="1"/>
  <c r="M87" i="13" a="1"/>
  <c r="M87" i="13" s="1"/>
  <c r="M88" i="13" a="1"/>
  <c r="M88" i="13" s="1"/>
  <c r="M89" i="13" a="1"/>
  <c r="M89" i="13" s="1"/>
  <c r="M90" i="13" a="1"/>
  <c r="M90" i="13" s="1"/>
  <c r="M91" i="13" a="1"/>
  <c r="M91" i="13" s="1"/>
  <c r="M92" i="13" a="1"/>
  <c r="M92" i="13" s="1"/>
  <c r="M93" i="13" a="1"/>
  <c r="M93" i="13" s="1"/>
  <c r="M94" i="13" a="1"/>
  <c r="M94" i="13" s="1"/>
  <c r="M95" i="13" a="1"/>
  <c r="M95" i="13" s="1"/>
  <c r="M96" i="13" a="1"/>
  <c r="M96" i="13" s="1"/>
  <c r="M97" i="13" a="1"/>
  <c r="M97" i="13" s="1"/>
  <c r="M98" i="13" a="1"/>
  <c r="M98" i="13" s="1"/>
  <c r="M99" i="13" a="1"/>
  <c r="M99" i="13" s="1"/>
  <c r="M100" i="13" a="1"/>
  <c r="M100" i="13" s="1"/>
  <c r="M101" i="13" a="1"/>
  <c r="M101" i="13" s="1"/>
  <c r="M102" i="13" a="1"/>
  <c r="M102" i="13" s="1"/>
  <c r="M103" i="13" a="1"/>
  <c r="M103" i="13" s="1"/>
  <c r="M104" i="13" a="1"/>
  <c r="M104" i="13" s="1"/>
  <c r="M105" i="13" a="1"/>
  <c r="M105" i="13" s="1"/>
  <c r="M106" i="13" a="1"/>
  <c r="M106" i="13" s="1"/>
  <c r="M107" i="13" a="1"/>
  <c r="M107" i="13" s="1"/>
  <c r="M108" i="13" a="1"/>
  <c r="M108" i="13" s="1"/>
  <c r="M109" i="13" a="1"/>
  <c r="M109" i="13" s="1"/>
  <c r="M110" i="13" a="1"/>
  <c r="M110" i="13" s="1"/>
  <c r="M111" i="13" a="1"/>
  <c r="M111" i="13" s="1"/>
  <c r="M112" i="13" a="1"/>
  <c r="M112" i="13" s="1"/>
  <c r="M113" i="13" a="1"/>
  <c r="M113" i="13" s="1"/>
  <c r="M114" i="13" a="1"/>
  <c r="M114" i="13" s="1"/>
  <c r="M115" i="13" a="1"/>
  <c r="M115" i="13" s="1"/>
  <c r="M116" i="13" a="1"/>
  <c r="M116" i="13" s="1"/>
  <c r="M117" i="13" a="1"/>
  <c r="M117" i="13" s="1"/>
  <c r="M118" i="13" a="1"/>
  <c r="M118" i="13" s="1"/>
  <c r="M119" i="13" a="1"/>
  <c r="M119" i="13" s="1"/>
  <c r="M120" i="13" a="1"/>
  <c r="M120" i="13" s="1"/>
  <c r="M121" i="13" a="1"/>
  <c r="M121" i="13" s="1"/>
  <c r="M122" i="13" a="1"/>
  <c r="M122" i="13" s="1"/>
  <c r="M123" i="13" a="1"/>
  <c r="M123" i="13" s="1"/>
  <c r="M124" i="13" a="1"/>
  <c r="M124" i="13" s="1"/>
  <c r="M125" i="13" a="1"/>
  <c r="M125" i="13" s="1"/>
  <c r="M126" i="13" a="1"/>
  <c r="M126" i="13" s="1"/>
  <c r="M127" i="13" a="1"/>
  <c r="M127" i="13" s="1"/>
  <c r="M128" i="13" a="1"/>
  <c r="M128" i="13" s="1"/>
  <c r="M129" i="13" a="1"/>
  <c r="M129" i="13" s="1"/>
  <c r="M130" i="13" a="1"/>
  <c r="M130" i="13" s="1"/>
  <c r="M131" i="13" a="1"/>
  <c r="M131" i="13" s="1"/>
  <c r="M132" i="13" a="1"/>
  <c r="M132" i="13" s="1"/>
  <c r="M133" i="13" a="1"/>
  <c r="M133" i="13" s="1"/>
  <c r="M134" i="13" a="1"/>
  <c r="M134" i="13" s="1"/>
  <c r="M135" i="13" a="1"/>
  <c r="M135" i="13" s="1"/>
  <c r="M136" i="13" a="1"/>
  <c r="M136" i="13" s="1"/>
  <c r="M137" i="13" a="1"/>
  <c r="M137" i="13" s="1"/>
  <c r="M138" i="13" a="1"/>
  <c r="M138" i="13" s="1"/>
  <c r="M139" i="13" a="1"/>
  <c r="M139" i="13" s="1"/>
  <c r="M140" i="13" a="1"/>
  <c r="M140" i="13" s="1"/>
  <c r="M141" i="13" a="1"/>
  <c r="M141" i="13" s="1"/>
  <c r="M142" i="13" a="1"/>
  <c r="M142" i="13" s="1"/>
  <c r="M143" i="13" a="1"/>
  <c r="M143" i="13" s="1"/>
  <c r="M144" i="13" a="1"/>
  <c r="M144" i="13" s="1"/>
  <c r="M145" i="13" a="1"/>
  <c r="M145" i="13" s="1"/>
  <c r="M146" i="13" a="1"/>
  <c r="M146" i="13" s="1"/>
  <c r="M147" i="13" a="1"/>
  <c r="M147" i="13" s="1"/>
  <c r="M148" i="13" a="1"/>
  <c r="M148" i="13" s="1"/>
  <c r="M149" i="13" a="1"/>
  <c r="M149" i="13" s="1"/>
  <c r="M150" i="13" a="1"/>
  <c r="M150" i="13" s="1"/>
  <c r="M151" i="13" a="1"/>
  <c r="M151" i="13" s="1"/>
  <c r="M152" i="13" a="1"/>
  <c r="M152" i="13" s="1"/>
  <c r="M153" i="13" a="1"/>
  <c r="M153" i="13" s="1"/>
  <c r="M154" i="13" a="1"/>
  <c r="M154" i="13" s="1"/>
  <c r="M155" i="13" a="1"/>
  <c r="M155" i="13" s="1"/>
  <c r="M156" i="13" a="1"/>
  <c r="M156" i="13" s="1"/>
  <c r="M157" i="13" a="1"/>
  <c r="M157" i="13" s="1"/>
  <c r="M158" i="13" a="1"/>
  <c r="M158" i="13" s="1"/>
  <c r="M159" i="13" a="1"/>
  <c r="M159" i="13" s="1"/>
  <c r="M160" i="13" a="1"/>
  <c r="M160" i="13" s="1"/>
  <c r="M161" i="13" a="1"/>
  <c r="M161" i="13" s="1"/>
  <c r="M162" i="13" a="1"/>
  <c r="M162" i="13" s="1"/>
  <c r="M163" i="13" a="1"/>
  <c r="M163" i="13" s="1"/>
  <c r="M164" i="13" a="1"/>
  <c r="M164" i="13" s="1"/>
  <c r="M165" i="13" a="1"/>
  <c r="M165" i="13" s="1"/>
  <c r="M166" i="13" a="1"/>
  <c r="M166" i="13" s="1"/>
  <c r="M167" i="13" a="1"/>
  <c r="M167" i="13" s="1"/>
  <c r="M168" i="13" a="1"/>
  <c r="M168" i="13" s="1"/>
  <c r="M169" i="13" a="1"/>
  <c r="M169" i="13" s="1"/>
  <c r="M170" i="13" a="1"/>
  <c r="M170" i="13" s="1"/>
  <c r="M171" i="13" a="1"/>
  <c r="M171" i="13" s="1"/>
  <c r="M172" i="13" a="1"/>
  <c r="M172" i="13" s="1"/>
  <c r="M173" i="13" a="1"/>
  <c r="M173" i="13" s="1"/>
  <c r="M174" i="13" a="1"/>
  <c r="M174" i="13" s="1"/>
  <c r="M175" i="13" a="1"/>
  <c r="M175" i="13" s="1"/>
  <c r="M176" i="13" a="1"/>
  <c r="M176" i="13" s="1"/>
  <c r="M177" i="13" a="1"/>
  <c r="M177" i="13" s="1"/>
  <c r="M178" i="13" a="1"/>
  <c r="M178" i="13" s="1"/>
  <c r="M179" i="13" a="1"/>
  <c r="M179" i="13" s="1"/>
  <c r="M180" i="13" a="1"/>
  <c r="M180" i="13" s="1"/>
  <c r="M181" i="13" a="1"/>
  <c r="M181" i="13" s="1"/>
  <c r="M182" i="13" a="1"/>
  <c r="M182" i="13" s="1"/>
  <c r="M183" i="13" a="1"/>
  <c r="M183" i="13" s="1"/>
  <c r="M184" i="13" a="1"/>
  <c r="M184" i="13" s="1"/>
  <c r="M185" i="13" a="1"/>
  <c r="M185" i="13" s="1"/>
  <c r="M186" i="13" a="1"/>
  <c r="M186" i="13" s="1"/>
  <c r="M187" i="13" a="1"/>
  <c r="M187" i="13" s="1"/>
  <c r="M188" i="13" a="1"/>
  <c r="M188" i="13" s="1"/>
  <c r="M189" i="13" a="1"/>
  <c r="M189" i="13" s="1"/>
  <c r="M190" i="13" a="1"/>
  <c r="M190" i="13" s="1"/>
  <c r="M191" i="13" a="1"/>
  <c r="M191" i="13" s="1"/>
  <c r="M192" i="13" a="1"/>
  <c r="M192" i="13" s="1"/>
  <c r="M193" i="13" a="1"/>
  <c r="M193" i="13" s="1"/>
  <c r="M194" i="13" a="1"/>
  <c r="M194" i="13" s="1"/>
  <c r="M195" i="13" a="1"/>
  <c r="M195" i="13" s="1"/>
  <c r="M196" i="13" a="1"/>
  <c r="M196" i="13" s="1"/>
  <c r="M197" i="13" a="1"/>
  <c r="M197" i="13" s="1"/>
  <c r="M2" i="13" a="1"/>
  <c r="M2" i="13" s="1"/>
  <c r="X3"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X123" i="13"/>
  <c r="X124" i="13"/>
  <c r="X125" i="13"/>
  <c r="X126" i="13"/>
  <c r="X127" i="13"/>
  <c r="X128" i="13"/>
  <c r="X129" i="13"/>
  <c r="X130" i="13"/>
  <c r="X131" i="13"/>
  <c r="X132" i="13"/>
  <c r="X133" i="13"/>
  <c r="X134" i="13"/>
  <c r="X135" i="13"/>
  <c r="X136" i="13"/>
  <c r="X137" i="13"/>
  <c r="X138" i="13"/>
  <c r="X139" i="13"/>
  <c r="X140" i="13"/>
  <c r="X141" i="13"/>
  <c r="X142" i="13"/>
  <c r="X143" i="13"/>
  <c r="X144" i="13"/>
  <c r="X145" i="13"/>
  <c r="X146" i="13"/>
  <c r="X147" i="13"/>
  <c r="X148" i="13"/>
  <c r="X149" i="13"/>
  <c r="X150" i="13"/>
  <c r="X151" i="13"/>
  <c r="X152" i="13"/>
  <c r="X153" i="13"/>
  <c r="X154" i="13"/>
  <c r="X155" i="13"/>
  <c r="X156" i="13"/>
  <c r="X157" i="13"/>
  <c r="X158" i="13"/>
  <c r="X159" i="13"/>
  <c r="X160" i="13"/>
  <c r="X161" i="13"/>
  <c r="X162" i="13"/>
  <c r="X163" i="13"/>
  <c r="X164" i="13"/>
  <c r="X165" i="13"/>
  <c r="X166" i="13"/>
  <c r="X167" i="13"/>
  <c r="X168" i="13"/>
  <c r="X169" i="13"/>
  <c r="X170" i="13"/>
  <c r="X171" i="13"/>
  <c r="X172" i="13"/>
  <c r="X173" i="13"/>
  <c r="X174" i="13"/>
  <c r="X175" i="13"/>
  <c r="X176" i="13"/>
  <c r="X177" i="13"/>
  <c r="X178" i="13"/>
  <c r="X179" i="13"/>
  <c r="X180" i="13"/>
  <c r="X181" i="13"/>
  <c r="X182" i="13"/>
  <c r="X183" i="13"/>
  <c r="X184" i="13"/>
  <c r="X185" i="13"/>
  <c r="X186" i="13"/>
  <c r="X187" i="13"/>
  <c r="X188" i="13"/>
  <c r="X189" i="13"/>
  <c r="X190" i="13"/>
  <c r="X191" i="13"/>
  <c r="X192" i="13"/>
  <c r="X193" i="13"/>
  <c r="X194" i="13"/>
  <c r="X195" i="13"/>
  <c r="X196" i="13"/>
  <c r="X197" i="13"/>
  <c r="X198" i="13"/>
  <c r="X199" i="13"/>
  <c r="X200" i="13"/>
  <c r="X201" i="13"/>
  <c r="X202" i="13"/>
  <c r="X203" i="13"/>
  <c r="X204" i="13"/>
  <c r="X205" i="13"/>
  <c r="X2" i="13"/>
  <c r="W3" i="13"/>
  <c r="V3" i="13" s="1"/>
  <c r="W4" i="13"/>
  <c r="V4" i="13" s="1"/>
  <c r="W5" i="13"/>
  <c r="V5" i="13" s="1"/>
  <c r="W6" i="13"/>
  <c r="V6" i="13" s="1"/>
  <c r="W7" i="13"/>
  <c r="V7" i="13" s="1"/>
  <c r="W8" i="13"/>
  <c r="V8" i="13" s="1"/>
  <c r="W9" i="13"/>
  <c r="V9" i="13" s="1"/>
  <c r="W10" i="13"/>
  <c r="V10" i="13" s="1"/>
  <c r="W11" i="13"/>
  <c r="V11" i="13" s="1"/>
  <c r="W12" i="13"/>
  <c r="V12" i="13" s="1"/>
  <c r="W13" i="13"/>
  <c r="V13" i="13" s="1"/>
  <c r="W14" i="13"/>
  <c r="V14" i="13" s="1"/>
  <c r="W15" i="13"/>
  <c r="V15" i="13" s="1"/>
  <c r="W16" i="13"/>
  <c r="V16" i="13" s="1"/>
  <c r="W17" i="13"/>
  <c r="V17" i="13" s="1"/>
  <c r="W18" i="13"/>
  <c r="V18" i="13" s="1"/>
  <c r="W19" i="13"/>
  <c r="V19" i="13" s="1"/>
  <c r="W20" i="13"/>
  <c r="V20" i="13" s="1"/>
  <c r="W21" i="13"/>
  <c r="V21" i="13" s="1"/>
  <c r="W22" i="13"/>
  <c r="V22" i="13" s="1"/>
  <c r="W23" i="13"/>
  <c r="V23" i="13" s="1"/>
  <c r="W24" i="13"/>
  <c r="V24" i="13" s="1"/>
  <c r="W25" i="13"/>
  <c r="V25" i="13" s="1"/>
  <c r="W26" i="13"/>
  <c r="V26" i="13" s="1"/>
  <c r="W27" i="13"/>
  <c r="V27" i="13" s="1"/>
  <c r="W28" i="13"/>
  <c r="V28" i="13" s="1"/>
  <c r="W29" i="13"/>
  <c r="V29" i="13" s="1"/>
  <c r="W30" i="13"/>
  <c r="V30" i="13" s="1"/>
  <c r="W31" i="13"/>
  <c r="V31" i="13" s="1"/>
  <c r="W32" i="13"/>
  <c r="V32" i="13" s="1"/>
  <c r="W33" i="13"/>
  <c r="V33" i="13" s="1"/>
  <c r="W34" i="13"/>
  <c r="V34" i="13" s="1"/>
  <c r="W35" i="13"/>
  <c r="V35" i="13" s="1"/>
  <c r="W36" i="13"/>
  <c r="V36" i="13" s="1"/>
  <c r="W37" i="13"/>
  <c r="V37" i="13" s="1"/>
  <c r="W38" i="13"/>
  <c r="V38" i="13" s="1"/>
  <c r="W39" i="13"/>
  <c r="V39" i="13" s="1"/>
  <c r="W40" i="13"/>
  <c r="V40" i="13" s="1"/>
  <c r="W41" i="13"/>
  <c r="V41" i="13" s="1"/>
  <c r="W42" i="13"/>
  <c r="V42" i="13" s="1"/>
  <c r="W43" i="13"/>
  <c r="V43" i="13" s="1"/>
  <c r="W44" i="13"/>
  <c r="V44" i="13" s="1"/>
  <c r="W45" i="13"/>
  <c r="V45" i="13" s="1"/>
  <c r="W46" i="13"/>
  <c r="V46" i="13" s="1"/>
  <c r="W47" i="13"/>
  <c r="V47" i="13" s="1"/>
  <c r="W48" i="13"/>
  <c r="V48" i="13" s="1"/>
  <c r="W49" i="13"/>
  <c r="V49" i="13" s="1"/>
  <c r="W50" i="13"/>
  <c r="V50" i="13" s="1"/>
  <c r="W51" i="13"/>
  <c r="V51" i="13" s="1"/>
  <c r="W52" i="13"/>
  <c r="V52" i="13" s="1"/>
  <c r="W53" i="13"/>
  <c r="V53" i="13" s="1"/>
  <c r="W54" i="13"/>
  <c r="V54" i="13" s="1"/>
  <c r="W55" i="13"/>
  <c r="V55" i="13" s="1"/>
  <c r="W56" i="13"/>
  <c r="V56" i="13" s="1"/>
  <c r="W57" i="13"/>
  <c r="V57" i="13" s="1"/>
  <c r="W58" i="13"/>
  <c r="V58" i="13" s="1"/>
  <c r="W59" i="13"/>
  <c r="V59" i="13" s="1"/>
  <c r="W60" i="13"/>
  <c r="V60" i="13" s="1"/>
  <c r="W61" i="13"/>
  <c r="V61" i="13" s="1"/>
  <c r="W62" i="13"/>
  <c r="V62" i="13" s="1"/>
  <c r="W63" i="13"/>
  <c r="V63" i="13" s="1"/>
  <c r="W64" i="13"/>
  <c r="V64" i="13" s="1"/>
  <c r="W65" i="13"/>
  <c r="V65" i="13" s="1"/>
  <c r="W66" i="13"/>
  <c r="V66" i="13" s="1"/>
  <c r="W67" i="13"/>
  <c r="V67" i="13" s="1"/>
  <c r="W68" i="13"/>
  <c r="V68" i="13" s="1"/>
  <c r="W69" i="13"/>
  <c r="V69" i="13" s="1"/>
  <c r="W70" i="13"/>
  <c r="V70" i="13" s="1"/>
  <c r="W71" i="13"/>
  <c r="V71" i="13" s="1"/>
  <c r="W72" i="13"/>
  <c r="V72" i="13" s="1"/>
  <c r="W73" i="13"/>
  <c r="V73" i="13" s="1"/>
  <c r="W74" i="13"/>
  <c r="V74" i="13" s="1"/>
  <c r="W75" i="13"/>
  <c r="V75" i="13" s="1"/>
  <c r="W76" i="13"/>
  <c r="V76" i="13" s="1"/>
  <c r="W77" i="13"/>
  <c r="V77" i="13" s="1"/>
  <c r="W78" i="13"/>
  <c r="V78" i="13" s="1"/>
  <c r="W79" i="13"/>
  <c r="V79" i="13" s="1"/>
  <c r="W80" i="13"/>
  <c r="V80" i="13" s="1"/>
  <c r="W81" i="13"/>
  <c r="V81" i="13" s="1"/>
  <c r="W82" i="13"/>
  <c r="V82" i="13" s="1"/>
  <c r="W83" i="13"/>
  <c r="V83" i="13" s="1"/>
  <c r="W84" i="13"/>
  <c r="V84" i="13" s="1"/>
  <c r="W85" i="13"/>
  <c r="V85" i="13" s="1"/>
  <c r="W86" i="13"/>
  <c r="V86" i="13" s="1"/>
  <c r="W87" i="13"/>
  <c r="V87" i="13" s="1"/>
  <c r="W88" i="13"/>
  <c r="V88" i="13" s="1"/>
  <c r="W89" i="13"/>
  <c r="V89" i="13" s="1"/>
  <c r="W90" i="13"/>
  <c r="V90" i="13" s="1"/>
  <c r="W91" i="13"/>
  <c r="V91" i="13" s="1"/>
  <c r="W92" i="13"/>
  <c r="V92" i="13" s="1"/>
  <c r="W93" i="13"/>
  <c r="V93" i="13" s="1"/>
  <c r="W94" i="13"/>
  <c r="V94" i="13" s="1"/>
  <c r="W95" i="13"/>
  <c r="V95" i="13" s="1"/>
  <c r="W96" i="13"/>
  <c r="V96" i="13" s="1"/>
  <c r="W97" i="13"/>
  <c r="V97" i="13" s="1"/>
  <c r="W98" i="13"/>
  <c r="V98" i="13" s="1"/>
  <c r="W99" i="13"/>
  <c r="V99" i="13" s="1"/>
  <c r="W100" i="13"/>
  <c r="V100" i="13" s="1"/>
  <c r="W101" i="13"/>
  <c r="V101" i="13" s="1"/>
  <c r="W102" i="13"/>
  <c r="V102" i="13" s="1"/>
  <c r="W103" i="13"/>
  <c r="V103" i="13" s="1"/>
  <c r="W104" i="13"/>
  <c r="V104" i="13" s="1"/>
  <c r="W105" i="13"/>
  <c r="V105" i="13" s="1"/>
  <c r="W106" i="13"/>
  <c r="V106" i="13" s="1"/>
  <c r="W107" i="13"/>
  <c r="V107" i="13" s="1"/>
  <c r="W108" i="13"/>
  <c r="V108" i="13" s="1"/>
  <c r="W109" i="13"/>
  <c r="V109" i="13" s="1"/>
  <c r="W110" i="13"/>
  <c r="V110" i="13" s="1"/>
  <c r="W111" i="13"/>
  <c r="V111" i="13" s="1"/>
  <c r="W112" i="13"/>
  <c r="V112" i="13" s="1"/>
  <c r="W113" i="13"/>
  <c r="V113" i="13" s="1"/>
  <c r="W114" i="13"/>
  <c r="V114" i="13" s="1"/>
  <c r="W115" i="13"/>
  <c r="V115" i="13" s="1"/>
  <c r="W116" i="13"/>
  <c r="V116" i="13" s="1"/>
  <c r="W117" i="13"/>
  <c r="V117" i="13" s="1"/>
  <c r="W118" i="13"/>
  <c r="V118" i="13" s="1"/>
  <c r="W119" i="13"/>
  <c r="V119" i="13" s="1"/>
  <c r="W120" i="13"/>
  <c r="V120" i="13" s="1"/>
  <c r="W121" i="13"/>
  <c r="V121" i="13" s="1"/>
  <c r="W122" i="13"/>
  <c r="V122" i="13" s="1"/>
  <c r="W123" i="13"/>
  <c r="V123" i="13" s="1"/>
  <c r="W124" i="13"/>
  <c r="V124" i="13" s="1"/>
  <c r="W125" i="13"/>
  <c r="V125" i="13" s="1"/>
  <c r="W126" i="13"/>
  <c r="V126" i="13" s="1"/>
  <c r="W127" i="13"/>
  <c r="V127" i="13" s="1"/>
  <c r="W128" i="13"/>
  <c r="V128" i="13" s="1"/>
  <c r="W129" i="13"/>
  <c r="V129" i="13" s="1"/>
  <c r="W130" i="13"/>
  <c r="V130" i="13" s="1"/>
  <c r="W131" i="13"/>
  <c r="V131" i="13" s="1"/>
  <c r="W132" i="13"/>
  <c r="V132" i="13" s="1"/>
  <c r="W133" i="13"/>
  <c r="V133" i="13" s="1"/>
  <c r="W134" i="13"/>
  <c r="V134" i="13" s="1"/>
  <c r="W135" i="13"/>
  <c r="V135" i="13" s="1"/>
  <c r="W136" i="13"/>
  <c r="V136" i="13" s="1"/>
  <c r="W137" i="13"/>
  <c r="V137" i="13" s="1"/>
  <c r="W138" i="13"/>
  <c r="V138" i="13" s="1"/>
  <c r="W139" i="13"/>
  <c r="V139" i="13" s="1"/>
  <c r="W140" i="13"/>
  <c r="V140" i="13" s="1"/>
  <c r="W141" i="13"/>
  <c r="V141" i="13" s="1"/>
  <c r="W142" i="13"/>
  <c r="V142" i="13" s="1"/>
  <c r="W143" i="13"/>
  <c r="V143" i="13" s="1"/>
  <c r="W144" i="13"/>
  <c r="V144" i="13" s="1"/>
  <c r="W145" i="13"/>
  <c r="V145" i="13" s="1"/>
  <c r="W146" i="13"/>
  <c r="V146" i="13" s="1"/>
  <c r="W147" i="13"/>
  <c r="V147" i="13" s="1"/>
  <c r="W148" i="13"/>
  <c r="V148" i="13" s="1"/>
  <c r="W149" i="13"/>
  <c r="V149" i="13" s="1"/>
  <c r="W150" i="13"/>
  <c r="V150" i="13" s="1"/>
  <c r="W151" i="13"/>
  <c r="V151" i="13" s="1"/>
  <c r="W152" i="13"/>
  <c r="V152" i="13" s="1"/>
  <c r="W153" i="13"/>
  <c r="V153" i="13" s="1"/>
  <c r="W154" i="13"/>
  <c r="V154" i="13" s="1"/>
  <c r="W155" i="13"/>
  <c r="V155" i="13" s="1"/>
  <c r="W156" i="13"/>
  <c r="V156" i="13" s="1"/>
  <c r="W157" i="13"/>
  <c r="V157" i="13" s="1"/>
  <c r="W158" i="13"/>
  <c r="V158" i="13" s="1"/>
  <c r="W159" i="13"/>
  <c r="V159" i="13" s="1"/>
  <c r="W160" i="13"/>
  <c r="V160" i="13" s="1"/>
  <c r="W161" i="13"/>
  <c r="V161" i="13" s="1"/>
  <c r="W162" i="13"/>
  <c r="V162" i="13" s="1"/>
  <c r="W163" i="13"/>
  <c r="V163" i="13" s="1"/>
  <c r="W164" i="13"/>
  <c r="V164" i="13" s="1"/>
  <c r="W165" i="13"/>
  <c r="V165" i="13" s="1"/>
  <c r="W166" i="13"/>
  <c r="V166" i="13" s="1"/>
  <c r="W167" i="13"/>
  <c r="V167" i="13" s="1"/>
  <c r="W168" i="13"/>
  <c r="V168" i="13" s="1"/>
  <c r="W169" i="13"/>
  <c r="V169" i="13" s="1"/>
  <c r="W170" i="13"/>
  <c r="V170" i="13" s="1"/>
  <c r="W171" i="13"/>
  <c r="V171" i="13" s="1"/>
  <c r="W172" i="13"/>
  <c r="V172" i="13" s="1"/>
  <c r="W173" i="13"/>
  <c r="V173" i="13" s="1"/>
  <c r="W174" i="13"/>
  <c r="V174" i="13" s="1"/>
  <c r="W175" i="13"/>
  <c r="V175" i="13" s="1"/>
  <c r="W176" i="13"/>
  <c r="V176" i="13" s="1"/>
  <c r="W177" i="13"/>
  <c r="V177" i="13" s="1"/>
  <c r="W178" i="13"/>
  <c r="V178" i="13" s="1"/>
  <c r="W179" i="13"/>
  <c r="V179" i="13" s="1"/>
  <c r="W180" i="13"/>
  <c r="V180" i="13" s="1"/>
  <c r="W181" i="13"/>
  <c r="V181" i="13" s="1"/>
  <c r="W182" i="13"/>
  <c r="V182" i="13" s="1"/>
  <c r="W183" i="13"/>
  <c r="V183" i="13" s="1"/>
  <c r="W184" i="13"/>
  <c r="V184" i="13" s="1"/>
  <c r="W185" i="13"/>
  <c r="V185" i="13" s="1"/>
  <c r="W186" i="13"/>
  <c r="V186" i="13" s="1"/>
  <c r="W187" i="13"/>
  <c r="V187" i="13" s="1"/>
  <c r="W188" i="13"/>
  <c r="V188" i="13" s="1"/>
  <c r="W189" i="13"/>
  <c r="V189" i="13" s="1"/>
  <c r="W190" i="13"/>
  <c r="V190" i="13" s="1"/>
  <c r="W191" i="13"/>
  <c r="V191" i="13" s="1"/>
  <c r="W192" i="13"/>
  <c r="V192" i="13" s="1"/>
  <c r="W193" i="13"/>
  <c r="V193" i="13" s="1"/>
  <c r="W194" i="13"/>
  <c r="V194" i="13" s="1"/>
  <c r="W195" i="13"/>
  <c r="V195" i="13" s="1"/>
  <c r="W196" i="13"/>
  <c r="V196" i="13" s="1"/>
  <c r="W197" i="13"/>
  <c r="V197" i="13" s="1"/>
  <c r="W198" i="13"/>
  <c r="V198" i="13" s="1"/>
  <c r="W199" i="13"/>
  <c r="V199" i="13" s="1"/>
  <c r="W200" i="13"/>
  <c r="V200" i="13" s="1"/>
  <c r="W201" i="13"/>
  <c r="V201" i="13" s="1"/>
  <c r="W202" i="13"/>
  <c r="V202" i="13" s="1"/>
  <c r="W203" i="13"/>
  <c r="V203" i="13" s="1"/>
  <c r="W204" i="13"/>
  <c r="V204" i="13" s="1"/>
  <c r="W205" i="13"/>
  <c r="V205" i="13" s="1"/>
  <c r="W2" i="13"/>
  <c r="V2" i="13" s="1"/>
  <c r="Y3"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2" i="13"/>
  <c r="A3" i="13" a="1"/>
  <c r="A3" i="13" s="1"/>
  <c r="A4" i="13" a="1"/>
  <c r="A4" i="13" s="1"/>
  <c r="A5" i="13" a="1"/>
  <c r="A5" i="13" s="1"/>
  <c r="A6" i="13" a="1"/>
  <c r="A6" i="13" s="1"/>
  <c r="A7" i="13" a="1"/>
  <c r="A7" i="13" s="1"/>
  <c r="A8" i="13" a="1"/>
  <c r="A8" i="13" s="1"/>
  <c r="A9" i="13" a="1"/>
  <c r="A9" i="13" s="1"/>
  <c r="A10" i="13" a="1"/>
  <c r="A10" i="13" s="1"/>
  <c r="A11" i="13" a="1"/>
  <c r="A11" i="13" s="1"/>
  <c r="A12" i="13" a="1"/>
  <c r="A12" i="13" s="1"/>
  <c r="A13" i="13" a="1"/>
  <c r="A13" i="13" s="1"/>
  <c r="A14" i="13" a="1"/>
  <c r="A14" i="13" s="1"/>
  <c r="A15" i="13" a="1"/>
  <c r="A15" i="13" s="1"/>
  <c r="A16" i="13" a="1"/>
  <c r="A16" i="13" s="1"/>
  <c r="A17" i="13" a="1"/>
  <c r="A17" i="13" s="1"/>
  <c r="A18" i="13" a="1"/>
  <c r="A18" i="13" s="1"/>
  <c r="A19" i="13" a="1"/>
  <c r="A19" i="13" s="1"/>
  <c r="A20" i="13" a="1"/>
  <c r="A20" i="13" s="1"/>
  <c r="A21" i="13" a="1"/>
  <c r="A21" i="13" s="1"/>
  <c r="A22" i="13" a="1"/>
  <c r="A22" i="13" s="1"/>
  <c r="A23" i="13" a="1"/>
  <c r="A23" i="13" s="1"/>
  <c r="A24" i="13" a="1"/>
  <c r="A24" i="13" s="1"/>
  <c r="A25" i="13" a="1"/>
  <c r="A25" i="13" s="1"/>
  <c r="A26" i="13" a="1"/>
  <c r="A26" i="13" s="1"/>
  <c r="A27" i="13" a="1"/>
  <c r="A27" i="13" s="1"/>
  <c r="A28" i="13" a="1"/>
  <c r="A28" i="13" s="1"/>
  <c r="A29" i="13" a="1"/>
  <c r="A29" i="13" s="1"/>
  <c r="A30" i="13" a="1"/>
  <c r="A30" i="13" s="1"/>
  <c r="A31" i="13" a="1"/>
  <c r="A31" i="13" s="1"/>
  <c r="A32" i="13" a="1"/>
  <c r="A32" i="13" s="1"/>
  <c r="A33" i="13" a="1"/>
  <c r="A33" i="13" s="1"/>
  <c r="A34" i="13" a="1"/>
  <c r="A34" i="13" s="1"/>
  <c r="A35" i="13" a="1"/>
  <c r="A35" i="13" s="1"/>
  <c r="A36" i="13" a="1"/>
  <c r="A36" i="13" s="1"/>
  <c r="A37" i="13" a="1"/>
  <c r="A37" i="13" s="1"/>
  <c r="A38" i="13" a="1"/>
  <c r="A38" i="13" s="1"/>
  <c r="A39" i="13" a="1"/>
  <c r="A39" i="13" s="1"/>
  <c r="A40" i="13" a="1"/>
  <c r="A40" i="13" s="1"/>
  <c r="A41" i="13" a="1"/>
  <c r="A41" i="13" s="1"/>
  <c r="A42" i="13" a="1"/>
  <c r="A42" i="13" s="1"/>
  <c r="A43" i="13" a="1"/>
  <c r="A43" i="13" s="1"/>
  <c r="A44" i="13" a="1"/>
  <c r="A44" i="13" s="1"/>
  <c r="A45" i="13" a="1"/>
  <c r="A45" i="13" s="1"/>
  <c r="A46" i="13" a="1"/>
  <c r="A46" i="13" s="1"/>
  <c r="A47" i="13" a="1"/>
  <c r="A47" i="13" s="1"/>
  <c r="A48" i="13" a="1"/>
  <c r="A48" i="13" s="1"/>
  <c r="A49" i="13" a="1"/>
  <c r="A49" i="13" s="1"/>
  <c r="A50" i="13" a="1"/>
  <c r="A50" i="13" s="1"/>
  <c r="A51" i="13" a="1"/>
  <c r="A51" i="13" s="1"/>
  <c r="A52" i="13" a="1"/>
  <c r="A52" i="13" s="1"/>
  <c r="A53" i="13" a="1"/>
  <c r="A53" i="13" s="1"/>
  <c r="A54" i="13" a="1"/>
  <c r="A54" i="13" s="1"/>
  <c r="A55" i="13" a="1"/>
  <c r="A55" i="13" s="1"/>
  <c r="A56" i="13" a="1"/>
  <c r="A56" i="13" s="1"/>
  <c r="A57" i="13" a="1"/>
  <c r="A57" i="13" s="1"/>
  <c r="A58" i="13" a="1"/>
  <c r="A58" i="13" s="1"/>
  <c r="A59" i="13" a="1"/>
  <c r="A59" i="13" s="1"/>
  <c r="A60" i="13" a="1"/>
  <c r="A60" i="13" s="1"/>
  <c r="A61" i="13" a="1"/>
  <c r="A61" i="13" s="1"/>
  <c r="A62" i="13" a="1"/>
  <c r="A62" i="13" s="1"/>
  <c r="A63" i="13" a="1"/>
  <c r="A63" i="13" s="1"/>
  <c r="A64" i="13" a="1"/>
  <c r="A64" i="13" s="1"/>
  <c r="A65" i="13" a="1"/>
  <c r="A65" i="13" s="1"/>
  <c r="A66" i="13" a="1"/>
  <c r="A66" i="13" s="1"/>
  <c r="A67" i="13" a="1"/>
  <c r="A67" i="13" s="1"/>
  <c r="A68" i="13" a="1"/>
  <c r="A68" i="13" s="1"/>
  <c r="A69" i="13" a="1"/>
  <c r="A69" i="13" s="1"/>
  <c r="A70" i="13" a="1"/>
  <c r="A70" i="13" s="1"/>
  <c r="A71" i="13" a="1"/>
  <c r="A71" i="13" s="1"/>
  <c r="A72" i="13" a="1"/>
  <c r="A72" i="13" s="1"/>
  <c r="A73" i="13" a="1"/>
  <c r="A73" i="13" s="1"/>
  <c r="A74" i="13" a="1"/>
  <c r="A74" i="13" s="1"/>
  <c r="A75" i="13" a="1"/>
  <c r="A75" i="13" s="1"/>
  <c r="A76" i="13" a="1"/>
  <c r="A76" i="13" s="1"/>
  <c r="A77" i="13" a="1"/>
  <c r="A77" i="13" s="1"/>
  <c r="A78" i="13" a="1"/>
  <c r="A78" i="13" s="1"/>
  <c r="A79" i="13" a="1"/>
  <c r="A79" i="13" s="1"/>
  <c r="A80" i="13" a="1"/>
  <c r="A80" i="13" s="1"/>
  <c r="A81" i="13" a="1"/>
  <c r="A81" i="13" s="1"/>
  <c r="A82" i="13" a="1"/>
  <c r="A82" i="13" s="1"/>
  <c r="A83" i="13" a="1"/>
  <c r="A83" i="13" s="1"/>
  <c r="A84" i="13" a="1"/>
  <c r="A84" i="13" s="1"/>
  <c r="A85" i="13" a="1"/>
  <c r="A85" i="13" s="1"/>
  <c r="A86" i="13" a="1"/>
  <c r="A86" i="13" s="1"/>
  <c r="A87" i="13" a="1"/>
  <c r="A87" i="13" s="1"/>
  <c r="A88" i="13" a="1"/>
  <c r="A88" i="13" s="1"/>
  <c r="A89" i="13" a="1"/>
  <c r="A89" i="13" s="1"/>
  <c r="A90" i="13" a="1"/>
  <c r="A90" i="13" s="1"/>
  <c r="A91" i="13" a="1"/>
  <c r="A91" i="13" s="1"/>
  <c r="A92" i="13" a="1"/>
  <c r="A92" i="13" s="1"/>
  <c r="A93" i="13" a="1"/>
  <c r="A93" i="13" s="1"/>
  <c r="A94" i="13" a="1"/>
  <c r="A94" i="13" s="1"/>
  <c r="A95" i="13" a="1"/>
  <c r="A95" i="13" s="1"/>
  <c r="A96" i="13" a="1"/>
  <c r="A96" i="13" s="1"/>
  <c r="A97" i="13" a="1"/>
  <c r="A97" i="13" s="1"/>
  <c r="A98" i="13" a="1"/>
  <c r="A98" i="13" s="1"/>
  <c r="A99" i="13" a="1"/>
  <c r="A99" i="13" s="1"/>
  <c r="A100" i="13" a="1"/>
  <c r="A100" i="13" s="1"/>
  <c r="A101" i="13" a="1"/>
  <c r="A101" i="13" s="1"/>
  <c r="A102" i="13" a="1"/>
  <c r="A102" i="13" s="1"/>
  <c r="A103" i="13" a="1"/>
  <c r="A103" i="13" s="1"/>
  <c r="A104" i="13" a="1"/>
  <c r="A104" i="13" s="1"/>
  <c r="A105" i="13" a="1"/>
  <c r="A105" i="13" s="1"/>
  <c r="A106" i="13" a="1"/>
  <c r="A106" i="13" s="1"/>
  <c r="A107" i="13" a="1"/>
  <c r="A107" i="13" s="1"/>
  <c r="A108" i="13" a="1"/>
  <c r="A108" i="13" s="1"/>
  <c r="A109" i="13" a="1"/>
  <c r="A109" i="13" s="1"/>
  <c r="A110" i="13" a="1"/>
  <c r="A110" i="13" s="1"/>
  <c r="A111" i="13" a="1"/>
  <c r="A111" i="13" s="1"/>
  <c r="A112" i="13" a="1"/>
  <c r="A112" i="13" s="1"/>
  <c r="A113" i="13" a="1"/>
  <c r="A113" i="13" s="1"/>
  <c r="A114" i="13" a="1"/>
  <c r="A114" i="13" s="1"/>
  <c r="A115" i="13" a="1"/>
  <c r="A115" i="13" s="1"/>
  <c r="A116" i="13" a="1"/>
  <c r="A116" i="13" s="1"/>
  <c r="A117" i="13" a="1"/>
  <c r="A117" i="13" s="1"/>
  <c r="A118" i="13" a="1"/>
  <c r="A118" i="13" s="1"/>
  <c r="A119" i="13" a="1"/>
  <c r="A119" i="13" s="1"/>
  <c r="A120" i="13" a="1"/>
  <c r="A120" i="13" s="1"/>
  <c r="A121" i="13" a="1"/>
  <c r="A121" i="13" s="1"/>
  <c r="A122" i="13" a="1"/>
  <c r="A122" i="13" s="1"/>
  <c r="A123" i="13" a="1"/>
  <c r="A123" i="13" s="1"/>
  <c r="A124" i="13" a="1"/>
  <c r="A124" i="13" s="1"/>
  <c r="A125" i="13" a="1"/>
  <c r="A125" i="13" s="1"/>
  <c r="A126" i="13" a="1"/>
  <c r="A126" i="13" s="1"/>
  <c r="A127" i="13" a="1"/>
  <c r="A127" i="13" s="1"/>
  <c r="A128" i="13" a="1"/>
  <c r="A128" i="13" s="1"/>
  <c r="A129" i="13" a="1"/>
  <c r="A129" i="13" s="1"/>
  <c r="A130" i="13" a="1"/>
  <c r="A130" i="13" s="1"/>
  <c r="A131" i="13" a="1"/>
  <c r="A131" i="13" s="1"/>
  <c r="A132" i="13" a="1"/>
  <c r="A132" i="13" s="1"/>
  <c r="A133" i="13" a="1"/>
  <c r="A133" i="13" s="1"/>
  <c r="A134" i="13" a="1"/>
  <c r="A134" i="13" s="1"/>
  <c r="A135" i="13" a="1"/>
  <c r="A135" i="13" s="1"/>
  <c r="A136" i="13" a="1"/>
  <c r="A136" i="13" s="1"/>
  <c r="A137" i="13" a="1"/>
  <c r="A137" i="13" s="1"/>
  <c r="A138" i="13" a="1"/>
  <c r="A138" i="13" s="1"/>
  <c r="A139" i="13" a="1"/>
  <c r="A139" i="13" s="1"/>
  <c r="A140" i="13" a="1"/>
  <c r="A140" i="13" s="1"/>
  <c r="A141" i="13" a="1"/>
  <c r="A141" i="13" s="1"/>
  <c r="A142" i="13" a="1"/>
  <c r="A142" i="13" s="1"/>
  <c r="A143" i="13" a="1"/>
  <c r="A143" i="13" s="1"/>
  <c r="A144" i="13" a="1"/>
  <c r="A144" i="13" s="1"/>
  <c r="A145" i="13" a="1"/>
  <c r="A145" i="13" s="1"/>
  <c r="A146" i="13" a="1"/>
  <c r="A146" i="13" s="1"/>
  <c r="A147" i="13" a="1"/>
  <c r="A147" i="13" s="1"/>
  <c r="A148" i="13" a="1"/>
  <c r="A148" i="13" s="1"/>
  <c r="A149" i="13" a="1"/>
  <c r="A149" i="13" s="1"/>
  <c r="A150" i="13" a="1"/>
  <c r="A150" i="13" s="1"/>
  <c r="A151" i="13" a="1"/>
  <c r="A151" i="13" s="1"/>
  <c r="A152" i="13" a="1"/>
  <c r="A152" i="13" s="1"/>
  <c r="A153" i="13" a="1"/>
  <c r="A153" i="13" s="1"/>
  <c r="A154" i="13" a="1"/>
  <c r="A154" i="13" s="1"/>
  <c r="A155" i="13" a="1"/>
  <c r="A155" i="13" s="1"/>
  <c r="A156" i="13" a="1"/>
  <c r="A156" i="13" s="1"/>
  <c r="A157" i="13" a="1"/>
  <c r="A157" i="13" s="1"/>
  <c r="A158" i="13" a="1"/>
  <c r="A158" i="13" s="1"/>
  <c r="A159" i="13" a="1"/>
  <c r="A159" i="13" s="1"/>
  <c r="A160" i="13" a="1"/>
  <c r="A160" i="13" s="1"/>
  <c r="A161" i="13" a="1"/>
  <c r="A161" i="13" s="1"/>
  <c r="A162" i="13" a="1"/>
  <c r="A162" i="13" s="1"/>
  <c r="A163" i="13" a="1"/>
  <c r="A163" i="13" s="1"/>
  <c r="A164" i="13" a="1"/>
  <c r="A164" i="13" s="1"/>
  <c r="A165" i="13" a="1"/>
  <c r="A165" i="13" s="1"/>
  <c r="A166" i="13" a="1"/>
  <c r="A166" i="13" s="1"/>
  <c r="A167" i="13" a="1"/>
  <c r="A167" i="13" s="1"/>
  <c r="A168" i="13" a="1"/>
  <c r="A168" i="13" s="1"/>
  <c r="A169" i="13" a="1"/>
  <c r="A169" i="13" s="1"/>
  <c r="A170" i="13" a="1"/>
  <c r="A170" i="13" s="1"/>
  <c r="A171" i="13" a="1"/>
  <c r="A171" i="13" s="1"/>
  <c r="A172" i="13" a="1"/>
  <c r="A172" i="13" s="1"/>
  <c r="A173" i="13" a="1"/>
  <c r="A173" i="13" s="1"/>
  <c r="A174" i="13" a="1"/>
  <c r="A174" i="13" s="1"/>
  <c r="A175" i="13" a="1"/>
  <c r="A175" i="13" s="1"/>
  <c r="A176" i="13" a="1"/>
  <c r="A176" i="13" s="1"/>
  <c r="A177" i="13" a="1"/>
  <c r="A177" i="13" s="1"/>
  <c r="A178" i="13" a="1"/>
  <c r="A178" i="13" s="1"/>
  <c r="A179" i="13" a="1"/>
  <c r="A179" i="13" s="1"/>
  <c r="A180" i="13" a="1"/>
  <c r="A180" i="13" s="1"/>
  <c r="A181" i="13" a="1"/>
  <c r="A181" i="13" s="1"/>
  <c r="A182" i="13" a="1"/>
  <c r="A182" i="13" s="1"/>
  <c r="A183" i="13" a="1"/>
  <c r="A183" i="13" s="1"/>
  <c r="A184" i="13" a="1"/>
  <c r="A184" i="13" s="1"/>
  <c r="A185" i="13" a="1"/>
  <c r="A185" i="13" s="1"/>
  <c r="A186" i="13" a="1"/>
  <c r="A186" i="13" s="1"/>
  <c r="A187" i="13" a="1"/>
  <c r="A187" i="13" s="1"/>
  <c r="A188" i="13" a="1"/>
  <c r="A188" i="13" s="1"/>
  <c r="A189" i="13" a="1"/>
  <c r="A189" i="13" s="1"/>
  <c r="A190" i="13" a="1"/>
  <c r="A190" i="13" s="1"/>
  <c r="A191" i="13" a="1"/>
  <c r="A191" i="13" s="1"/>
  <c r="A192" i="13" a="1"/>
  <c r="A192" i="13" s="1"/>
  <c r="A193" i="13" a="1"/>
  <c r="A193" i="13" s="1"/>
  <c r="A194" i="13" a="1"/>
  <c r="A194" i="13" s="1"/>
  <c r="A195" i="13" a="1"/>
  <c r="A195" i="13" s="1"/>
  <c r="A196" i="13" a="1"/>
  <c r="A196" i="13" s="1"/>
  <c r="A197" i="13" a="1"/>
  <c r="A197" i="13" s="1"/>
  <c r="A2" i="13" a="1"/>
  <c r="A2" i="13" s="1"/>
  <c r="C9" i="6" l="1"/>
  <c r="C10" i="6" s="1"/>
  <c r="C11" i="6" s="1"/>
  <c r="C12" i="6" s="1"/>
  <c r="D32" i="7"/>
  <c r="I32" i="7"/>
  <c r="R16" i="7" s="1"/>
  <c r="D10" i="6" l="1"/>
  <c r="D11" i="6" s="1"/>
  <c r="D12" i="6" s="1"/>
  <c r="D13" i="6" s="1"/>
  <c r="D14" i="6" s="1"/>
  <c r="D15" i="6" s="1"/>
  <c r="D16" i="6" s="1"/>
  <c r="D17" i="6" s="1"/>
  <c r="D18" i="6" s="1"/>
  <c r="C13" i="6"/>
  <c r="C14" i="6" s="1"/>
  <c r="C15" i="6" s="1"/>
  <c r="C16" i="6" s="1"/>
  <c r="C17" i="6" s="1"/>
  <c r="J28" i="6"/>
  <c r="R11" i="7"/>
  <c r="R13" i="7"/>
  <c r="M29" i="7"/>
  <c r="M26" i="7"/>
  <c r="M14" i="7"/>
  <c r="M23" i="7"/>
  <c r="M9" i="7"/>
  <c r="M17" i="7"/>
  <c r="M12" i="7"/>
  <c r="E32" i="7"/>
  <c r="N10" i="7" s="1"/>
  <c r="F32" i="7"/>
  <c r="G32" i="7"/>
  <c r="P30" i="7" s="1"/>
  <c r="H32" i="7"/>
  <c r="M20" i="7"/>
  <c r="R9" i="7"/>
  <c r="R17" i="7"/>
  <c r="M27" i="7"/>
  <c r="M10" i="7"/>
  <c r="M18" i="7"/>
  <c r="M24" i="7"/>
  <c r="R12" i="7"/>
  <c r="M21" i="7"/>
  <c r="R7" i="7"/>
  <c r="R15" i="7"/>
  <c r="M5" i="7"/>
  <c r="M8" i="7"/>
  <c r="M16" i="7"/>
  <c r="M28" i="7"/>
  <c r="R14" i="7"/>
  <c r="M7" i="7"/>
  <c r="M15" i="7"/>
  <c r="M30" i="7"/>
  <c r="M13" i="7"/>
  <c r="R10" i="7"/>
  <c r="R18" i="7"/>
  <c r="M25" i="7"/>
  <c r="M11" i="7"/>
  <c r="M19" i="7"/>
  <c r="M22" i="7"/>
  <c r="M6" i="7"/>
  <c r="R8" i="7"/>
  <c r="C18" i="6" l="1"/>
  <c r="C19" i="6" s="1"/>
  <c r="C20" i="6" s="1"/>
  <c r="D19" i="6"/>
  <c r="D20" i="6" s="1"/>
  <c r="D21" i="6" s="1"/>
  <c r="Q23" i="7"/>
  <c r="Q20" i="7"/>
  <c r="Q21" i="7"/>
  <c r="J29" i="6"/>
  <c r="O24" i="7"/>
  <c r="Q29" i="7"/>
  <c r="Q30" i="7"/>
  <c r="Q13" i="7"/>
  <c r="Q10" i="7"/>
  <c r="Q18" i="7"/>
  <c r="Q12" i="7"/>
  <c r="Q6" i="7"/>
  <c r="P15" i="7"/>
  <c r="O10" i="7"/>
  <c r="Q27" i="7"/>
  <c r="Q26" i="7"/>
  <c r="N28" i="7"/>
  <c r="Q7" i="7"/>
  <c r="Q17" i="7"/>
  <c r="Q15" i="7"/>
  <c r="Q9" i="7"/>
  <c r="Q24" i="7"/>
  <c r="P11" i="7"/>
  <c r="O22" i="7"/>
  <c r="O14" i="7"/>
  <c r="P25" i="7"/>
  <c r="P23" i="7"/>
  <c r="N25" i="7"/>
  <c r="N14" i="7"/>
  <c r="N23" i="7"/>
  <c r="N17" i="7"/>
  <c r="N12" i="7"/>
  <c r="N11" i="7"/>
  <c r="N29" i="7"/>
  <c r="N6" i="7"/>
  <c r="N22" i="7"/>
  <c r="N20" i="7"/>
  <c r="N19" i="7"/>
  <c r="N9" i="7"/>
  <c r="N26" i="7"/>
  <c r="N16" i="7"/>
  <c r="O13" i="7"/>
  <c r="O30" i="7"/>
  <c r="P12" i="7"/>
  <c r="O25" i="7"/>
  <c r="P13" i="7"/>
  <c r="N27" i="7"/>
  <c r="P9" i="7"/>
  <c r="N7" i="7"/>
  <c r="O28" i="7"/>
  <c r="N8" i="7"/>
  <c r="O26" i="7"/>
  <c r="N5" i="7"/>
  <c r="O17" i="7"/>
  <c r="P10" i="7"/>
  <c r="O9" i="7"/>
  <c r="O15" i="7"/>
  <c r="P29" i="7"/>
  <c r="O16" i="7"/>
  <c r="P26" i="7"/>
  <c r="P24" i="7"/>
  <c r="P22" i="7"/>
  <c r="P8" i="7"/>
  <c r="P16" i="7"/>
  <c r="P28" i="7"/>
  <c r="P5" i="7"/>
  <c r="P14" i="7"/>
  <c r="P21" i="7"/>
  <c r="P20" i="7"/>
  <c r="P7" i="7"/>
  <c r="O19" i="7"/>
  <c r="O20" i="7"/>
  <c r="N15" i="7"/>
  <c r="O11" i="7"/>
  <c r="O12" i="7"/>
  <c r="J32" i="7"/>
  <c r="P27" i="7"/>
  <c r="O23" i="7"/>
  <c r="O21" i="7"/>
  <c r="O27" i="7"/>
  <c r="P6" i="7"/>
  <c r="N21" i="7"/>
  <c r="P17" i="7"/>
  <c r="P18" i="7"/>
  <c r="N24" i="7"/>
  <c r="O7" i="7"/>
  <c r="O29" i="7"/>
  <c r="O8" i="7"/>
  <c r="O18" i="7"/>
  <c r="O6" i="7"/>
  <c r="P19" i="7"/>
  <c r="O5" i="7"/>
  <c r="N13" i="7"/>
  <c r="N18" i="7"/>
  <c r="N30" i="7"/>
  <c r="Q25" i="7"/>
  <c r="Q19" i="7"/>
  <c r="Q28" i="7"/>
  <c r="Q14" i="7"/>
  <c r="Q5" i="7"/>
  <c r="Q22" i="7"/>
  <c r="Q16" i="7"/>
  <c r="Q11" i="7"/>
  <c r="Q8" i="7"/>
  <c r="C21" i="6" l="1"/>
  <c r="C22" i="6" s="1"/>
  <c r="C23" i="6" s="1"/>
  <c r="C24" i="6" s="1"/>
  <c r="C25" i="6" s="1"/>
  <c r="J30" i="6"/>
  <c r="N3" i="7"/>
  <c r="AD38" i="7" s="1"/>
  <c r="Q3" i="7"/>
  <c r="AD41" i="7" s="1"/>
  <c r="R3" i="7"/>
  <c r="AD42" i="7" s="1"/>
  <c r="M3" i="7"/>
  <c r="P3" i="7"/>
  <c r="AD40" i="7" s="1"/>
  <c r="O3" i="7"/>
  <c r="AD39" i="7" s="1"/>
  <c r="AI60" i="4"/>
  <c r="AH60" i="4"/>
  <c r="AG60" i="4"/>
  <c r="AF60" i="4"/>
  <c r="AC60" i="4"/>
  <c r="AJ7" i="4"/>
  <c r="J32" i="6" l="1"/>
  <c r="D22" i="6"/>
  <c r="D23" i="6" s="1"/>
  <c r="D24" i="6" s="1"/>
  <c r="D25" i="6" s="1"/>
  <c r="J31" i="6"/>
  <c r="J34" i="6" s="1"/>
  <c r="AE3" i="4" s="1"/>
  <c r="AD37" i="7"/>
  <c r="S3" i="7"/>
  <c r="AY7" i="4" l="1"/>
  <c r="BA7" i="4"/>
  <c r="BB7" i="4"/>
  <c r="AW7" i="4"/>
  <c r="BC7" i="4"/>
  <c r="AX7" i="4"/>
  <c r="AX28" i="4" s="1"/>
  <c r="H28" i="4" s="1"/>
  <c r="I28" i="4" s="1"/>
  <c r="AZ7" i="4"/>
  <c r="R27" i="4"/>
  <c r="L27" i="4"/>
  <c r="U27" i="4"/>
  <c r="I27" i="4"/>
  <c r="O27" i="4"/>
  <c r="I14" i="3"/>
  <c r="I16" i="3"/>
  <c r="I15" i="3"/>
  <c r="M14" i="3"/>
  <c r="M13" i="3"/>
  <c r="I13" i="3"/>
  <c r="M15" i="3"/>
  <c r="M16" i="3"/>
  <c r="AX45" i="4" l="1"/>
  <c r="H45" i="4" s="1"/>
  <c r="I45" i="4" s="1"/>
  <c r="AX40" i="4"/>
  <c r="H40" i="4" s="1"/>
  <c r="I40" i="4" s="1"/>
  <c r="AX33" i="4"/>
  <c r="H33" i="4" s="1"/>
  <c r="I33" i="4" s="1"/>
  <c r="AZ18" i="4"/>
  <c r="N18" i="4" s="1"/>
  <c r="O18" i="4" s="1"/>
  <c r="AZ20" i="4"/>
  <c r="N20" i="4" s="1"/>
  <c r="O20" i="4" s="1"/>
  <c r="AZ54" i="4"/>
  <c r="N54" i="4" s="1"/>
  <c r="O54" i="4" s="1"/>
  <c r="AZ48" i="4"/>
  <c r="N48" i="4" s="1"/>
  <c r="O48" i="4" s="1"/>
  <c r="AZ46" i="4"/>
  <c r="N46" i="4" s="1"/>
  <c r="O46" i="4" s="1"/>
  <c r="AZ50" i="4"/>
  <c r="N50" i="4" s="1"/>
  <c r="O50" i="4" s="1"/>
  <c r="AZ26" i="4"/>
  <c r="N26" i="4" s="1"/>
  <c r="O26" i="4" s="1"/>
  <c r="AZ27" i="4"/>
  <c r="N27" i="4" s="1"/>
  <c r="AZ35" i="4"/>
  <c r="N35" i="4" s="1"/>
  <c r="O35" i="4" s="1"/>
  <c r="AZ29" i="4"/>
  <c r="N29" i="4" s="1"/>
  <c r="O29" i="4" s="1"/>
  <c r="AZ52" i="4"/>
  <c r="N52" i="4" s="1"/>
  <c r="O52" i="4" s="1"/>
  <c r="AZ21" i="4"/>
  <c r="N21" i="4" s="1"/>
  <c r="O21" i="4" s="1"/>
  <c r="AZ19" i="4"/>
  <c r="N19" i="4" s="1"/>
  <c r="O19" i="4" s="1"/>
  <c r="AZ37" i="4"/>
  <c r="N37" i="4" s="1"/>
  <c r="O37" i="4" s="1"/>
  <c r="AZ49" i="4"/>
  <c r="N49" i="4" s="1"/>
  <c r="O49" i="4" s="1"/>
  <c r="AZ31" i="4"/>
  <c r="N31" i="4" s="1"/>
  <c r="O31" i="4" s="1"/>
  <c r="AZ43" i="4"/>
  <c r="N43" i="4" s="1"/>
  <c r="O43" i="4" s="1"/>
  <c r="AZ38" i="4"/>
  <c r="N38" i="4" s="1"/>
  <c r="O38" i="4" s="1"/>
  <c r="AZ45" i="4"/>
  <c r="N45" i="4" s="1"/>
  <c r="O45" i="4" s="1"/>
  <c r="AZ41" i="4"/>
  <c r="N41" i="4" s="1"/>
  <c r="O41" i="4" s="1"/>
  <c r="AZ40" i="4"/>
  <c r="N40" i="4" s="1"/>
  <c r="O40" i="4" s="1"/>
  <c r="AZ34" i="4"/>
  <c r="N34" i="4" s="1"/>
  <c r="O34" i="4" s="1"/>
  <c r="AZ33" i="4"/>
  <c r="N33" i="4" s="1"/>
  <c r="O33" i="4" s="1"/>
  <c r="AZ36" i="4"/>
  <c r="N36" i="4" s="1"/>
  <c r="O36" i="4" s="1"/>
  <c r="AZ32" i="4"/>
  <c r="N32" i="4" s="1"/>
  <c r="O32" i="4" s="1"/>
  <c r="AZ39" i="4"/>
  <c r="N39" i="4" s="1"/>
  <c r="O39" i="4" s="1"/>
  <c r="AZ28" i="4"/>
  <c r="N28" i="4" s="1"/>
  <c r="O28" i="4" s="1"/>
  <c r="AZ30" i="4"/>
  <c r="N30" i="4" s="1"/>
  <c r="O30" i="4" s="1"/>
  <c r="AZ23" i="4"/>
  <c r="N23" i="4" s="1"/>
  <c r="O23" i="4" s="1"/>
  <c r="AZ25" i="4"/>
  <c r="N25" i="4" s="1"/>
  <c r="O25" i="4" s="1"/>
  <c r="AZ14" i="4"/>
  <c r="N14" i="4" s="1"/>
  <c r="O14" i="4" s="1"/>
  <c r="AZ22" i="4"/>
  <c r="N22" i="4" s="1"/>
  <c r="O22" i="4" s="1"/>
  <c r="AZ15" i="4"/>
  <c r="N15" i="4" s="1"/>
  <c r="O15" i="4" s="1"/>
  <c r="AZ24" i="4"/>
  <c r="N24" i="4" s="1"/>
  <c r="O24" i="4" s="1"/>
  <c r="AZ13" i="4"/>
  <c r="N13" i="4" s="1"/>
  <c r="O13" i="4" s="1"/>
  <c r="AZ47" i="4"/>
  <c r="N47" i="4" s="1"/>
  <c r="O47" i="4" s="1"/>
  <c r="AZ17" i="4"/>
  <c r="N17" i="4" s="1"/>
  <c r="O17" i="4" s="1"/>
  <c r="AZ16" i="4"/>
  <c r="N16" i="4" s="1"/>
  <c r="O16" i="4" s="1"/>
  <c r="AZ44" i="4"/>
  <c r="N44" i="4" s="1"/>
  <c r="O44" i="4" s="1"/>
  <c r="AZ12" i="4"/>
  <c r="N12" i="4" s="1"/>
  <c r="O12" i="4" s="1"/>
  <c r="AZ11" i="4"/>
  <c r="N11" i="4" s="1"/>
  <c r="O11" i="4" s="1"/>
  <c r="AZ56" i="4"/>
  <c r="N56" i="4" s="1"/>
  <c r="O56" i="4" s="1"/>
  <c r="AZ42" i="4"/>
  <c r="N42" i="4" s="1"/>
  <c r="O42" i="4" s="1"/>
  <c r="AZ51" i="4"/>
  <c r="N51" i="4" s="1"/>
  <c r="O51" i="4" s="1"/>
  <c r="AZ55" i="4"/>
  <c r="N55" i="4" s="1"/>
  <c r="O55" i="4" s="1"/>
  <c r="AZ57" i="4"/>
  <c r="N57" i="4" s="1"/>
  <c r="O57" i="4" s="1"/>
  <c r="AZ58" i="4"/>
  <c r="N58" i="4" s="1"/>
  <c r="O58" i="4" s="1"/>
  <c r="AZ53" i="4"/>
  <c r="N53" i="4" s="1"/>
  <c r="O53" i="4" s="1"/>
  <c r="AX35" i="4"/>
  <c r="H35" i="4" s="1"/>
  <c r="I35" i="4" s="1"/>
  <c r="AX42" i="4"/>
  <c r="H42" i="4" s="1"/>
  <c r="I42" i="4" s="1"/>
  <c r="AW15" i="4"/>
  <c r="E15" i="4" s="1"/>
  <c r="F15" i="4" s="1"/>
  <c r="AW36" i="4"/>
  <c r="E36" i="4" s="1"/>
  <c r="F36" i="4" s="1"/>
  <c r="AW37" i="4"/>
  <c r="E37" i="4" s="1"/>
  <c r="F37" i="4" s="1"/>
  <c r="AW50" i="4"/>
  <c r="E50" i="4" s="1"/>
  <c r="F50" i="4" s="1"/>
  <c r="AW14" i="4"/>
  <c r="E14" i="4" s="1"/>
  <c r="F14" i="4" s="1"/>
  <c r="AW31" i="4"/>
  <c r="E31" i="4" s="1"/>
  <c r="F31" i="4" s="1"/>
  <c r="AW52" i="4"/>
  <c r="E52" i="4" s="1"/>
  <c r="F52" i="4" s="1"/>
  <c r="AW24" i="4"/>
  <c r="E24" i="4" s="1"/>
  <c r="F24" i="4" s="1"/>
  <c r="AW22" i="4"/>
  <c r="E22" i="4" s="1"/>
  <c r="F22" i="4" s="1"/>
  <c r="AW42" i="4"/>
  <c r="E42" i="4" s="1"/>
  <c r="F42" i="4" s="1"/>
  <c r="AW23" i="4"/>
  <c r="E23" i="4" s="1"/>
  <c r="F23" i="4" s="1"/>
  <c r="AW20" i="4"/>
  <c r="E20" i="4" s="1"/>
  <c r="F20" i="4" s="1"/>
  <c r="AW57" i="4"/>
  <c r="E57" i="4" s="1"/>
  <c r="F57" i="4" s="1"/>
  <c r="AW21" i="4"/>
  <c r="E21" i="4" s="1"/>
  <c r="F21" i="4" s="1"/>
  <c r="AW51" i="4"/>
  <c r="E51" i="4" s="1"/>
  <c r="F51" i="4" s="1"/>
  <c r="AW56" i="4"/>
  <c r="E56" i="4" s="1"/>
  <c r="F56" i="4" s="1"/>
  <c r="AW32" i="4"/>
  <c r="E32" i="4" s="1"/>
  <c r="F32" i="4" s="1"/>
  <c r="AW25" i="4"/>
  <c r="E25" i="4" s="1"/>
  <c r="F25" i="4" s="1"/>
  <c r="AW33" i="4"/>
  <c r="E33" i="4" s="1"/>
  <c r="F33" i="4" s="1"/>
  <c r="AW46" i="4"/>
  <c r="E46" i="4" s="1"/>
  <c r="F46" i="4" s="1"/>
  <c r="AW11" i="4"/>
  <c r="E11" i="4" s="1"/>
  <c r="F11" i="4" s="1"/>
  <c r="AW27" i="4"/>
  <c r="E27" i="4" s="1"/>
  <c r="F27" i="4" s="1"/>
  <c r="AW29" i="4"/>
  <c r="E29" i="4" s="1"/>
  <c r="F29" i="4" s="1"/>
  <c r="AW55" i="4"/>
  <c r="E55" i="4" s="1"/>
  <c r="F55" i="4" s="1"/>
  <c r="AW38" i="4"/>
  <c r="E38" i="4" s="1"/>
  <c r="F38" i="4" s="1"/>
  <c r="AW19" i="4"/>
  <c r="E19" i="4" s="1"/>
  <c r="F19" i="4" s="1"/>
  <c r="AW16" i="4"/>
  <c r="E16" i="4" s="1"/>
  <c r="F16" i="4" s="1"/>
  <c r="AW44" i="4"/>
  <c r="E44" i="4" s="1"/>
  <c r="F44" i="4" s="1"/>
  <c r="AW40" i="4"/>
  <c r="E40" i="4" s="1"/>
  <c r="F40" i="4" s="1"/>
  <c r="AW49" i="4"/>
  <c r="E49" i="4" s="1"/>
  <c r="F49" i="4" s="1"/>
  <c r="AW13" i="4"/>
  <c r="E13" i="4" s="1"/>
  <c r="F13" i="4" s="1"/>
  <c r="AW30" i="4"/>
  <c r="E30" i="4" s="1"/>
  <c r="F30" i="4" s="1"/>
  <c r="AW43" i="4"/>
  <c r="E43" i="4" s="1"/>
  <c r="F43" i="4" s="1"/>
  <c r="AW28" i="4"/>
  <c r="E28" i="4" s="1"/>
  <c r="F28" i="4" s="1"/>
  <c r="AW12" i="4"/>
  <c r="E12" i="4" s="1"/>
  <c r="F12" i="4" s="1"/>
  <c r="AW45" i="4"/>
  <c r="E45" i="4" s="1"/>
  <c r="F45" i="4" s="1"/>
  <c r="AW58" i="4"/>
  <c r="E58" i="4" s="1"/>
  <c r="F58" i="4" s="1"/>
  <c r="AW26" i="4"/>
  <c r="E26" i="4" s="1"/>
  <c r="F26" i="4" s="1"/>
  <c r="AW39" i="4"/>
  <c r="E39" i="4" s="1"/>
  <c r="F39" i="4" s="1"/>
  <c r="AW34" i="4"/>
  <c r="E34" i="4" s="1"/>
  <c r="F34" i="4" s="1"/>
  <c r="AW48" i="4"/>
  <c r="E48" i="4" s="1"/>
  <c r="F48" i="4" s="1"/>
  <c r="AW41" i="4"/>
  <c r="E41" i="4" s="1"/>
  <c r="F41" i="4" s="1"/>
  <c r="AW18" i="4"/>
  <c r="E18" i="4" s="1"/>
  <c r="F18" i="4" s="1"/>
  <c r="AW47" i="4"/>
  <c r="E47" i="4" s="1"/>
  <c r="F47" i="4" s="1"/>
  <c r="AW35" i="4"/>
  <c r="E35" i="4" s="1"/>
  <c r="F35" i="4" s="1"/>
  <c r="AW53" i="4"/>
  <c r="E53" i="4" s="1"/>
  <c r="F53" i="4" s="1"/>
  <c r="AW17" i="4"/>
  <c r="E17" i="4" s="1"/>
  <c r="F17" i="4" s="1"/>
  <c r="AW54" i="4"/>
  <c r="E54" i="4" s="1"/>
  <c r="F54" i="4" s="1"/>
  <c r="AX34" i="4"/>
  <c r="H34" i="4" s="1"/>
  <c r="I34" i="4" s="1"/>
  <c r="AX37" i="4"/>
  <c r="H37" i="4" s="1"/>
  <c r="I37" i="4" s="1"/>
  <c r="AX31" i="4"/>
  <c r="H31" i="4" s="1"/>
  <c r="I31" i="4" s="1"/>
  <c r="AX44" i="4"/>
  <c r="H44" i="4" s="1"/>
  <c r="I44" i="4" s="1"/>
  <c r="BB12" i="4"/>
  <c r="T12" i="4" s="1"/>
  <c r="U12" i="4" s="1"/>
  <c r="BB45" i="4"/>
  <c r="T45" i="4" s="1"/>
  <c r="U45" i="4" s="1"/>
  <c r="BB53" i="4"/>
  <c r="T53" i="4" s="1"/>
  <c r="U53" i="4" s="1"/>
  <c r="BB31" i="4"/>
  <c r="T31" i="4" s="1"/>
  <c r="U31" i="4" s="1"/>
  <c r="BB15" i="4"/>
  <c r="T15" i="4" s="1"/>
  <c r="U15" i="4" s="1"/>
  <c r="BB56" i="4"/>
  <c r="T56" i="4" s="1"/>
  <c r="U56" i="4" s="1"/>
  <c r="BB48" i="4"/>
  <c r="T48" i="4" s="1"/>
  <c r="U48" i="4" s="1"/>
  <c r="BB36" i="4"/>
  <c r="T36" i="4" s="1"/>
  <c r="U36" i="4" s="1"/>
  <c r="BB54" i="4"/>
  <c r="T54" i="4" s="1"/>
  <c r="U54" i="4" s="1"/>
  <c r="BB32" i="4"/>
  <c r="T32" i="4" s="1"/>
  <c r="U32" i="4" s="1"/>
  <c r="AX32" i="4" s="1"/>
  <c r="H32" i="4" s="1"/>
  <c r="I32" i="4" s="1"/>
  <c r="BB30" i="4"/>
  <c r="T30" i="4" s="1"/>
  <c r="U30" i="4" s="1"/>
  <c r="AX30" i="4" s="1"/>
  <c r="H30" i="4" s="1"/>
  <c r="I30" i="4" s="1"/>
  <c r="BB57" i="4"/>
  <c r="T57" i="4" s="1"/>
  <c r="U57" i="4" s="1"/>
  <c r="BB41" i="4"/>
  <c r="T41" i="4" s="1"/>
  <c r="U41" i="4" s="1"/>
  <c r="AX41" i="4" s="1"/>
  <c r="H41" i="4" s="1"/>
  <c r="I41" i="4" s="1"/>
  <c r="BB37" i="4"/>
  <c r="T37" i="4" s="1"/>
  <c r="U37" i="4" s="1"/>
  <c r="BB21" i="4"/>
  <c r="T21" i="4" s="1"/>
  <c r="U21" i="4" s="1"/>
  <c r="BB47" i="4"/>
  <c r="T47" i="4" s="1"/>
  <c r="U47" i="4" s="1"/>
  <c r="BB34" i="4"/>
  <c r="T34" i="4" s="1"/>
  <c r="U34" i="4" s="1"/>
  <c r="BB22" i="4"/>
  <c r="T22" i="4" s="1"/>
  <c r="U22" i="4" s="1"/>
  <c r="BB14" i="4"/>
  <c r="T14" i="4" s="1"/>
  <c r="U14" i="4" s="1"/>
  <c r="BB39" i="4"/>
  <c r="T39" i="4" s="1"/>
  <c r="U39" i="4" s="1"/>
  <c r="BB46" i="4"/>
  <c r="T46" i="4" s="1"/>
  <c r="U46" i="4" s="1"/>
  <c r="BB11" i="4"/>
  <c r="T11" i="4" s="1"/>
  <c r="U11" i="4" s="1"/>
  <c r="BB20" i="4"/>
  <c r="T20" i="4" s="1"/>
  <c r="U20" i="4" s="1"/>
  <c r="BB23" i="4"/>
  <c r="T23" i="4" s="1"/>
  <c r="U23" i="4" s="1"/>
  <c r="BB27" i="4"/>
  <c r="T27" i="4" s="1"/>
  <c r="BB29" i="4"/>
  <c r="T29" i="4" s="1"/>
  <c r="U29" i="4" s="1"/>
  <c r="BB55" i="4"/>
  <c r="T55" i="4" s="1"/>
  <c r="U55" i="4" s="1"/>
  <c r="BB25" i="4"/>
  <c r="T25" i="4" s="1"/>
  <c r="U25" i="4" s="1"/>
  <c r="BB51" i="4"/>
  <c r="T51" i="4" s="1"/>
  <c r="U51" i="4" s="1"/>
  <c r="BB42" i="4"/>
  <c r="T42" i="4" s="1"/>
  <c r="U42" i="4" s="1"/>
  <c r="BB26" i="4"/>
  <c r="T26" i="4" s="1"/>
  <c r="U26" i="4" s="1"/>
  <c r="BB18" i="4"/>
  <c r="T18" i="4" s="1"/>
  <c r="U18" i="4" s="1"/>
  <c r="BB35" i="4"/>
  <c r="T35" i="4" s="1"/>
  <c r="U35" i="4" s="1"/>
  <c r="BB17" i="4"/>
  <c r="T17" i="4" s="1"/>
  <c r="U17" i="4" s="1"/>
  <c r="BB58" i="4"/>
  <c r="T58" i="4" s="1"/>
  <c r="U58" i="4" s="1"/>
  <c r="BB50" i="4"/>
  <c r="T50" i="4" s="1"/>
  <c r="U50" i="4" s="1"/>
  <c r="BB40" i="4"/>
  <c r="T40" i="4" s="1"/>
  <c r="U40" i="4" s="1"/>
  <c r="BB52" i="4"/>
  <c r="T52" i="4" s="1"/>
  <c r="U52" i="4" s="1"/>
  <c r="BB19" i="4"/>
  <c r="T19" i="4" s="1"/>
  <c r="U19" i="4" s="1"/>
  <c r="BB28" i="4"/>
  <c r="T28" i="4" s="1"/>
  <c r="U28" i="4" s="1"/>
  <c r="BB49" i="4"/>
  <c r="T49" i="4" s="1"/>
  <c r="U49" i="4" s="1"/>
  <c r="BB44" i="4"/>
  <c r="T44" i="4" s="1"/>
  <c r="U44" i="4" s="1"/>
  <c r="BB43" i="4"/>
  <c r="T43" i="4" s="1"/>
  <c r="U43" i="4" s="1"/>
  <c r="BB33" i="4"/>
  <c r="T33" i="4" s="1"/>
  <c r="U33" i="4" s="1"/>
  <c r="BB38" i="4"/>
  <c r="T38" i="4" s="1"/>
  <c r="U38" i="4" s="1"/>
  <c r="AX38" i="4" s="1"/>
  <c r="H38" i="4" s="1"/>
  <c r="I38" i="4" s="1"/>
  <c r="BB13" i="4"/>
  <c r="T13" i="4" s="1"/>
  <c r="U13" i="4" s="1"/>
  <c r="BB24" i="4"/>
  <c r="T24" i="4" s="1"/>
  <c r="U24" i="4" s="1"/>
  <c r="BB16" i="4"/>
  <c r="T16" i="4" s="1"/>
  <c r="U16" i="4" s="1"/>
  <c r="AX36" i="4"/>
  <c r="H36" i="4" s="1"/>
  <c r="I36" i="4" s="1"/>
  <c r="AX43" i="4"/>
  <c r="H43" i="4" s="1"/>
  <c r="I43" i="4" s="1"/>
  <c r="BA12" i="4"/>
  <c r="Q12" i="4" s="1"/>
  <c r="R12" i="4" s="1"/>
  <c r="BA55" i="4"/>
  <c r="Q55" i="4" s="1"/>
  <c r="R55" i="4" s="1"/>
  <c r="BA11" i="4"/>
  <c r="Q11" i="4" s="1"/>
  <c r="R11" i="4" s="1"/>
  <c r="BA22" i="4"/>
  <c r="Q22" i="4" s="1"/>
  <c r="R22" i="4" s="1"/>
  <c r="BA14" i="4"/>
  <c r="Q14" i="4" s="1"/>
  <c r="R14" i="4" s="1"/>
  <c r="BA39" i="4"/>
  <c r="Q39" i="4" s="1"/>
  <c r="R39" i="4" s="1"/>
  <c r="BA37" i="4"/>
  <c r="Q37" i="4" s="1"/>
  <c r="R37" i="4" s="1"/>
  <c r="BA35" i="4"/>
  <c r="Q35" i="4" s="1"/>
  <c r="R35" i="4" s="1"/>
  <c r="BA50" i="4"/>
  <c r="Q50" i="4" s="1"/>
  <c r="R50" i="4" s="1"/>
  <c r="BA28" i="4"/>
  <c r="Q28" i="4" s="1"/>
  <c r="R28" i="4" s="1"/>
  <c r="BA40" i="4"/>
  <c r="Q40" i="4" s="1"/>
  <c r="R40" i="4" s="1"/>
  <c r="BA34" i="4"/>
  <c r="Q34" i="4" s="1"/>
  <c r="R34" i="4" s="1"/>
  <c r="BA36" i="4"/>
  <c r="Q36" i="4" s="1"/>
  <c r="R36" i="4" s="1"/>
  <c r="BA26" i="4"/>
  <c r="Q26" i="4" s="1"/>
  <c r="R26" i="4" s="1"/>
  <c r="BA54" i="4"/>
  <c r="Q54" i="4" s="1"/>
  <c r="R54" i="4" s="1"/>
  <c r="BA52" i="4"/>
  <c r="Q52" i="4" s="1"/>
  <c r="R52" i="4" s="1"/>
  <c r="BA53" i="4"/>
  <c r="Q53" i="4" s="1"/>
  <c r="R53" i="4" s="1"/>
  <c r="BA29" i="4"/>
  <c r="Q29" i="4" s="1"/>
  <c r="R29" i="4" s="1"/>
  <c r="BA41" i="4"/>
  <c r="Q41" i="4" s="1"/>
  <c r="R41" i="4" s="1"/>
  <c r="BA51" i="4"/>
  <c r="Q51" i="4" s="1"/>
  <c r="R51" i="4" s="1"/>
  <c r="BA13" i="4"/>
  <c r="Q13" i="4" s="1"/>
  <c r="R13" i="4" s="1"/>
  <c r="BA38" i="4"/>
  <c r="Q38" i="4" s="1"/>
  <c r="R38" i="4" s="1"/>
  <c r="BA19" i="4"/>
  <c r="Q19" i="4" s="1"/>
  <c r="R19" i="4" s="1"/>
  <c r="BA45" i="4"/>
  <c r="Q45" i="4" s="1"/>
  <c r="R45" i="4" s="1"/>
  <c r="BA27" i="4"/>
  <c r="Q27" i="4" s="1"/>
  <c r="BA57" i="4"/>
  <c r="Q57" i="4" s="1"/>
  <c r="R57" i="4" s="1"/>
  <c r="BA25" i="4"/>
  <c r="Q25" i="4" s="1"/>
  <c r="R25" i="4" s="1"/>
  <c r="BA20" i="4"/>
  <c r="Q20" i="4" s="1"/>
  <c r="R20" i="4" s="1"/>
  <c r="BA48" i="4"/>
  <c r="Q48" i="4" s="1"/>
  <c r="R48" i="4" s="1"/>
  <c r="BA32" i="4"/>
  <c r="Q32" i="4" s="1"/>
  <c r="R32" i="4" s="1"/>
  <c r="BA17" i="4"/>
  <c r="Q17" i="4" s="1"/>
  <c r="R17" i="4" s="1"/>
  <c r="BA42" i="4"/>
  <c r="Q42" i="4" s="1"/>
  <c r="R42" i="4" s="1"/>
  <c r="BA56" i="4"/>
  <c r="Q56" i="4" s="1"/>
  <c r="R56" i="4" s="1"/>
  <c r="BA43" i="4"/>
  <c r="Q43" i="4" s="1"/>
  <c r="R43" i="4" s="1"/>
  <c r="BA24" i="4"/>
  <c r="Q24" i="4" s="1"/>
  <c r="R24" i="4" s="1"/>
  <c r="BA18" i="4"/>
  <c r="Q18" i="4" s="1"/>
  <c r="R18" i="4" s="1"/>
  <c r="BA47" i="4"/>
  <c r="Q47" i="4" s="1"/>
  <c r="R47" i="4" s="1"/>
  <c r="BA31" i="4"/>
  <c r="Q31" i="4" s="1"/>
  <c r="R31" i="4" s="1"/>
  <c r="BA16" i="4"/>
  <c r="Q16" i="4" s="1"/>
  <c r="R16" i="4" s="1"/>
  <c r="BA21" i="4"/>
  <c r="Q21" i="4" s="1"/>
  <c r="R21" i="4" s="1"/>
  <c r="BA58" i="4"/>
  <c r="Q58" i="4" s="1"/>
  <c r="R58" i="4" s="1"/>
  <c r="BA49" i="4"/>
  <c r="Q49" i="4" s="1"/>
  <c r="R49" i="4" s="1"/>
  <c r="BA46" i="4"/>
  <c r="Q46" i="4" s="1"/>
  <c r="R46" i="4" s="1"/>
  <c r="BA30" i="4"/>
  <c r="Q30" i="4" s="1"/>
  <c r="R30" i="4" s="1"/>
  <c r="BA44" i="4"/>
  <c r="Q44" i="4" s="1"/>
  <c r="R44" i="4" s="1"/>
  <c r="BA33" i="4"/>
  <c r="Q33" i="4" s="1"/>
  <c r="R33" i="4" s="1"/>
  <c r="BA23" i="4"/>
  <c r="Q23" i="4" s="1"/>
  <c r="R23" i="4" s="1"/>
  <c r="BA15" i="4"/>
  <c r="Q15" i="4" s="1"/>
  <c r="R15" i="4" s="1"/>
  <c r="AX12" i="4"/>
  <c r="H12" i="4" s="1"/>
  <c r="I12" i="4" s="1"/>
  <c r="AX49" i="4"/>
  <c r="H49" i="4" s="1"/>
  <c r="I49" i="4" s="1"/>
  <c r="AX24" i="4"/>
  <c r="H24" i="4" s="1"/>
  <c r="I24" i="4" s="1"/>
  <c r="AX16" i="4"/>
  <c r="H16" i="4" s="1"/>
  <c r="I16" i="4" s="1"/>
  <c r="AX14" i="4"/>
  <c r="H14" i="4" s="1"/>
  <c r="I14" i="4" s="1"/>
  <c r="AX54" i="4"/>
  <c r="H54" i="4" s="1"/>
  <c r="I54" i="4" s="1"/>
  <c r="AX53" i="4"/>
  <c r="H53" i="4" s="1"/>
  <c r="I53" i="4" s="1"/>
  <c r="AX15" i="4"/>
  <c r="H15" i="4" s="1"/>
  <c r="I15" i="4" s="1"/>
  <c r="AX56" i="4"/>
  <c r="H56" i="4" s="1"/>
  <c r="I56" i="4" s="1"/>
  <c r="AX48" i="4"/>
  <c r="H48" i="4" s="1"/>
  <c r="I48" i="4" s="1"/>
  <c r="AX21" i="4"/>
  <c r="H21" i="4" s="1"/>
  <c r="I21" i="4" s="1"/>
  <c r="AX47" i="4"/>
  <c r="H47" i="4" s="1"/>
  <c r="I47" i="4" s="1"/>
  <c r="AX22" i="4"/>
  <c r="H22" i="4" s="1"/>
  <c r="I22" i="4" s="1"/>
  <c r="AX46" i="4"/>
  <c r="H46" i="4" s="1"/>
  <c r="I46" i="4" s="1"/>
  <c r="AX23" i="4"/>
  <c r="H23" i="4" s="1"/>
  <c r="I23" i="4" s="1"/>
  <c r="AX11" i="4"/>
  <c r="H11" i="4" s="1"/>
  <c r="I11" i="4" s="1"/>
  <c r="AX19" i="4"/>
  <c r="H19" i="4" s="1"/>
  <c r="I19" i="4" s="1"/>
  <c r="AX52" i="4"/>
  <c r="H52" i="4" s="1"/>
  <c r="I52" i="4" s="1"/>
  <c r="AX57" i="4"/>
  <c r="H57" i="4" s="1"/>
  <c r="I57" i="4" s="1"/>
  <c r="AX13" i="4"/>
  <c r="H13" i="4" s="1"/>
  <c r="I13" i="4" s="1"/>
  <c r="AX55" i="4"/>
  <c r="H55" i="4" s="1"/>
  <c r="I55" i="4" s="1"/>
  <c r="AX25" i="4"/>
  <c r="H25" i="4" s="1"/>
  <c r="I25" i="4" s="1"/>
  <c r="AX51" i="4"/>
  <c r="H51" i="4" s="1"/>
  <c r="I51" i="4" s="1"/>
  <c r="AX26" i="4"/>
  <c r="H26" i="4" s="1"/>
  <c r="I26" i="4" s="1"/>
  <c r="AX18" i="4"/>
  <c r="H18" i="4" s="1"/>
  <c r="I18" i="4" s="1"/>
  <c r="AX50" i="4"/>
  <c r="H50" i="4" s="1"/>
  <c r="I50" i="4" s="1"/>
  <c r="AX17" i="4"/>
  <c r="H17" i="4" s="1"/>
  <c r="I17" i="4" s="1"/>
  <c r="AX20" i="4"/>
  <c r="H20" i="4" s="1"/>
  <c r="I20" i="4" s="1"/>
  <c r="AX58" i="4"/>
  <c r="H58" i="4" s="1"/>
  <c r="I58" i="4" s="1"/>
  <c r="BC13" i="4"/>
  <c r="W13" i="4" s="1"/>
  <c r="X13" i="4" s="1"/>
  <c r="BC39" i="4"/>
  <c r="W39" i="4" s="1"/>
  <c r="X39" i="4" s="1"/>
  <c r="BC23" i="4"/>
  <c r="W23" i="4" s="1"/>
  <c r="X23" i="4" s="1"/>
  <c r="BC36" i="4"/>
  <c r="W36" i="4" s="1"/>
  <c r="X36" i="4" s="1"/>
  <c r="BC54" i="4"/>
  <c r="W54" i="4" s="1"/>
  <c r="X54" i="4" s="1"/>
  <c r="BC22" i="4"/>
  <c r="W22" i="4" s="1"/>
  <c r="X22" i="4" s="1"/>
  <c r="BC37" i="4"/>
  <c r="W37" i="4" s="1"/>
  <c r="X37" i="4" s="1"/>
  <c r="BC42" i="4"/>
  <c r="W42" i="4" s="1"/>
  <c r="X42" i="4" s="1"/>
  <c r="BC28" i="4"/>
  <c r="W28" i="4" s="1"/>
  <c r="X28" i="4" s="1"/>
  <c r="BC14" i="4"/>
  <c r="W14" i="4" s="1"/>
  <c r="X14" i="4" s="1"/>
  <c r="BC34" i="4"/>
  <c r="W34" i="4" s="1"/>
  <c r="X34" i="4" s="1"/>
  <c r="BC25" i="4"/>
  <c r="W25" i="4" s="1"/>
  <c r="X25" i="4" s="1"/>
  <c r="BC56" i="4"/>
  <c r="W56" i="4" s="1"/>
  <c r="X56" i="4" s="1"/>
  <c r="BC15" i="4"/>
  <c r="W15" i="4" s="1"/>
  <c r="X15" i="4" s="1"/>
  <c r="BC58" i="4"/>
  <c r="W58" i="4" s="1"/>
  <c r="X58" i="4" s="1"/>
  <c r="BC33" i="4"/>
  <c r="W33" i="4" s="1"/>
  <c r="X33" i="4" s="1"/>
  <c r="BC51" i="4"/>
  <c r="W51" i="4" s="1"/>
  <c r="X51" i="4" s="1"/>
  <c r="BC19" i="4"/>
  <c r="W19" i="4" s="1"/>
  <c r="X19" i="4" s="1"/>
  <c r="BC32" i="4"/>
  <c r="W32" i="4" s="1"/>
  <c r="X32" i="4" s="1"/>
  <c r="BC46" i="4"/>
  <c r="W46" i="4" s="1"/>
  <c r="X46" i="4" s="1"/>
  <c r="BC29" i="4"/>
  <c r="W29" i="4" s="1"/>
  <c r="X29" i="4" s="1"/>
  <c r="BC31" i="4"/>
  <c r="W31" i="4" s="1"/>
  <c r="X31" i="4" s="1"/>
  <c r="BC50" i="4"/>
  <c r="W50" i="4" s="1"/>
  <c r="X50" i="4" s="1"/>
  <c r="BC57" i="4"/>
  <c r="W57" i="4" s="1"/>
  <c r="X57" i="4" s="1"/>
  <c r="BC43" i="4"/>
  <c r="W43" i="4" s="1"/>
  <c r="X43" i="4" s="1"/>
  <c r="BC24" i="4"/>
  <c r="W24" i="4" s="1"/>
  <c r="X24" i="4" s="1"/>
  <c r="BC49" i="4"/>
  <c r="W49" i="4" s="1"/>
  <c r="X49" i="4" s="1"/>
  <c r="BC17" i="4"/>
  <c r="W17" i="4" s="1"/>
  <c r="X17" i="4" s="1"/>
  <c r="BC35" i="4"/>
  <c r="W35" i="4" s="1"/>
  <c r="X35" i="4" s="1"/>
  <c r="BC48" i="4"/>
  <c r="W48" i="4" s="1"/>
  <c r="X48" i="4" s="1"/>
  <c r="BC16" i="4"/>
  <c r="W16" i="4" s="1"/>
  <c r="X16" i="4" s="1"/>
  <c r="BC44" i="4"/>
  <c r="W44" i="4" s="1"/>
  <c r="X44" i="4" s="1"/>
  <c r="BC12" i="4"/>
  <c r="W12" i="4" s="1"/>
  <c r="X12" i="4" s="1"/>
  <c r="BC30" i="4"/>
  <c r="W30" i="4" s="1"/>
  <c r="X30" i="4" s="1"/>
  <c r="BC45" i="4"/>
  <c r="W45" i="4" s="1"/>
  <c r="X45" i="4" s="1"/>
  <c r="BC20" i="4"/>
  <c r="W20" i="4" s="1"/>
  <c r="X20" i="4" s="1"/>
  <c r="BC38" i="4"/>
  <c r="W38" i="4" s="1"/>
  <c r="X38" i="4" s="1"/>
  <c r="BC27" i="4"/>
  <c r="W27" i="4" s="1"/>
  <c r="X27" i="4" s="1"/>
  <c r="BC40" i="4"/>
  <c r="W40" i="4" s="1"/>
  <c r="X40" i="4" s="1"/>
  <c r="BC55" i="4"/>
  <c r="W55" i="4" s="1"/>
  <c r="X55" i="4" s="1"/>
  <c r="BC11" i="4"/>
  <c r="W11" i="4" s="1"/>
  <c r="X11" i="4" s="1"/>
  <c r="BC53" i="4"/>
  <c r="W53" i="4" s="1"/>
  <c r="X53" i="4" s="1"/>
  <c r="BC47" i="4"/>
  <c r="W47" i="4" s="1"/>
  <c r="X47" i="4" s="1"/>
  <c r="BC26" i="4"/>
  <c r="W26" i="4" s="1"/>
  <c r="X26" i="4" s="1"/>
  <c r="BC18" i="4"/>
  <c r="W18" i="4" s="1"/>
  <c r="X18" i="4" s="1"/>
  <c r="BC52" i="4"/>
  <c r="W52" i="4" s="1"/>
  <c r="X52" i="4" s="1"/>
  <c r="BC21" i="4"/>
  <c r="W21" i="4" s="1"/>
  <c r="X21" i="4" s="1"/>
  <c r="BC41" i="4"/>
  <c r="W41" i="4" s="1"/>
  <c r="X41" i="4" s="1"/>
  <c r="AX29" i="4"/>
  <c r="H29" i="4" s="1"/>
  <c r="I29" i="4" s="1"/>
  <c r="AX39" i="4"/>
  <c r="H39" i="4" s="1"/>
  <c r="I39" i="4" s="1"/>
  <c r="AY12" i="4"/>
  <c r="K12" i="4" s="1"/>
  <c r="L12" i="4" s="1"/>
  <c r="AY55" i="4"/>
  <c r="K55" i="4" s="1"/>
  <c r="L55" i="4" s="1"/>
  <c r="AY15" i="4"/>
  <c r="K15" i="4" s="1"/>
  <c r="L15" i="4" s="1"/>
  <c r="AY51" i="4"/>
  <c r="K51" i="4" s="1"/>
  <c r="L51" i="4" s="1"/>
  <c r="AY17" i="4"/>
  <c r="K17" i="4" s="1"/>
  <c r="L17" i="4" s="1"/>
  <c r="AY48" i="4"/>
  <c r="K48" i="4" s="1"/>
  <c r="L48" i="4" s="1"/>
  <c r="AY14" i="4"/>
  <c r="K14" i="4" s="1"/>
  <c r="L14" i="4" s="1"/>
  <c r="AY53" i="4"/>
  <c r="K53" i="4" s="1"/>
  <c r="L53" i="4" s="1"/>
  <c r="AY49" i="4"/>
  <c r="K49" i="4" s="1"/>
  <c r="L49" i="4" s="1"/>
  <c r="AY58" i="4"/>
  <c r="K58" i="4" s="1"/>
  <c r="L58" i="4" s="1"/>
  <c r="AY46" i="4"/>
  <c r="K46" i="4" s="1"/>
  <c r="L46" i="4" s="1"/>
  <c r="AY26" i="4"/>
  <c r="K26" i="4" s="1"/>
  <c r="L26" i="4" s="1"/>
  <c r="AY24" i="4"/>
  <c r="K24" i="4" s="1"/>
  <c r="L24" i="4" s="1"/>
  <c r="AY25" i="4"/>
  <c r="K25" i="4" s="1"/>
  <c r="L25" i="4" s="1"/>
  <c r="AY57" i="4"/>
  <c r="K57" i="4" s="1"/>
  <c r="L57" i="4" s="1"/>
  <c r="AY23" i="4"/>
  <c r="K23" i="4" s="1"/>
  <c r="L23" i="4" s="1"/>
  <c r="AY11" i="4"/>
  <c r="K11" i="4" s="1"/>
  <c r="L11" i="4" s="1"/>
  <c r="AY19" i="4"/>
  <c r="K19" i="4" s="1"/>
  <c r="L19" i="4" s="1"/>
  <c r="AY54" i="4"/>
  <c r="K54" i="4" s="1"/>
  <c r="L54" i="4" s="1"/>
  <c r="AY20" i="4"/>
  <c r="K20" i="4" s="1"/>
  <c r="L20" i="4" s="1"/>
  <c r="AY47" i="4"/>
  <c r="K47" i="4" s="1"/>
  <c r="L47" i="4" s="1"/>
  <c r="AY13" i="4"/>
  <c r="K13" i="4" s="1"/>
  <c r="L13" i="4" s="1"/>
  <c r="AY52" i="4"/>
  <c r="K52" i="4" s="1"/>
  <c r="L52" i="4" s="1"/>
  <c r="AY18" i="4"/>
  <c r="K18" i="4" s="1"/>
  <c r="L18" i="4" s="1"/>
  <c r="AY56" i="4"/>
  <c r="K56" i="4" s="1"/>
  <c r="L56" i="4" s="1"/>
  <c r="AY22" i="4"/>
  <c r="K22" i="4" s="1"/>
  <c r="L22" i="4" s="1"/>
  <c r="AY16" i="4"/>
  <c r="K16" i="4" s="1"/>
  <c r="L16" i="4" s="1"/>
  <c r="AY21" i="4"/>
  <c r="K21" i="4" s="1"/>
  <c r="L21" i="4" s="1"/>
  <c r="AY50" i="4"/>
  <c r="K50" i="4" s="1"/>
  <c r="L50" i="4" s="1"/>
  <c r="S22" i="4"/>
  <c r="J55" i="4"/>
  <c r="Y42" i="4"/>
  <c r="V44" i="4"/>
  <c r="V33" i="4"/>
  <c r="S58" i="4"/>
  <c r="G16" i="4"/>
  <c r="Y28" i="4"/>
  <c r="P18" i="4"/>
  <c r="G58" i="4"/>
  <c r="P57" i="4"/>
  <c r="V45" i="4"/>
  <c r="J48" i="4"/>
  <c r="J17" i="4"/>
  <c r="S38" i="4"/>
  <c r="J36" i="4"/>
  <c r="Y41" i="4"/>
  <c r="S17" i="4"/>
  <c r="Y13" i="4"/>
  <c r="S54" i="4"/>
  <c r="Y14" i="4"/>
  <c r="S15" i="4"/>
  <c r="V51" i="4"/>
  <c r="V53" i="4"/>
  <c r="Y47" i="4"/>
  <c r="S42" i="4"/>
  <c r="V14" i="4"/>
  <c r="J13" i="4"/>
  <c r="S30" i="4"/>
  <c r="G25" i="4"/>
  <c r="M12" i="4"/>
  <c r="G27" i="4"/>
  <c r="J23" i="4"/>
  <c r="P29" i="4"/>
  <c r="J32" i="4"/>
  <c r="G43" i="4"/>
  <c r="G24" i="4"/>
  <c r="M48" i="4"/>
  <c r="P17" i="4"/>
  <c r="P35" i="4"/>
  <c r="V40" i="4"/>
  <c r="Y43" i="4"/>
  <c r="Y54" i="4"/>
  <c r="V36" i="4"/>
  <c r="P21" i="4"/>
  <c r="S35" i="4"/>
  <c r="S39" i="4"/>
  <c r="S43" i="4"/>
  <c r="M52" i="4"/>
  <c r="Y18" i="4"/>
  <c r="S28" i="4"/>
  <c r="Y33" i="4"/>
  <c r="G22" i="4"/>
  <c r="J29" i="4"/>
  <c r="G52" i="4"/>
  <c r="P51" i="4"/>
  <c r="M17" i="4"/>
  <c r="J33" i="4"/>
  <c r="S24" i="4"/>
  <c r="V19" i="4"/>
  <c r="J51" i="4"/>
  <c r="V12" i="4"/>
  <c r="P48" i="4"/>
  <c r="M56" i="4"/>
  <c r="G50" i="4"/>
  <c r="M58" i="4"/>
  <c r="Y40" i="4"/>
  <c r="V49" i="4"/>
  <c r="Y34" i="4"/>
  <c r="G54" i="4"/>
  <c r="J38" i="4"/>
  <c r="V48" i="4"/>
  <c r="S23" i="4"/>
  <c r="S25" i="4"/>
  <c r="J35" i="4"/>
  <c r="M24" i="4"/>
  <c r="Y22" i="4"/>
  <c r="G45" i="4"/>
  <c r="P28" i="4"/>
  <c r="P25" i="4"/>
  <c r="P34" i="4"/>
  <c r="V42" i="4"/>
  <c r="Y49" i="4"/>
  <c r="G19" i="4"/>
  <c r="V56" i="4"/>
  <c r="P32" i="4"/>
  <c r="S20" i="4"/>
  <c r="V20" i="4"/>
  <c r="V37" i="4"/>
  <c r="V23" i="4"/>
  <c r="Y25" i="4"/>
  <c r="G53" i="4"/>
  <c r="V38" i="4"/>
  <c r="Y19" i="4"/>
  <c r="S48" i="4"/>
  <c r="P20" i="4"/>
  <c r="M11" i="4"/>
  <c r="P40" i="4"/>
  <c r="P23" i="4"/>
  <c r="G23" i="4"/>
  <c r="Y32" i="4"/>
  <c r="J30" i="4"/>
  <c r="G26" i="4"/>
  <c r="J53" i="4"/>
  <c r="M14" i="4"/>
  <c r="S33" i="4"/>
  <c r="G42" i="4"/>
  <c r="M22" i="4"/>
  <c r="P24" i="4"/>
  <c r="Y37" i="4"/>
  <c r="M13" i="4"/>
  <c r="P41" i="4"/>
  <c r="G14" i="4"/>
  <c r="M18" i="4"/>
  <c r="V22" i="4"/>
  <c r="P39" i="4"/>
  <c r="G35" i="4"/>
  <c r="V41" i="4"/>
  <c r="J34" i="4"/>
  <c r="M54" i="4"/>
  <c r="V55" i="4"/>
  <c r="P26" i="4"/>
  <c r="Y48" i="4"/>
  <c r="G40" i="4"/>
  <c r="S14" i="4"/>
  <c r="S13" i="4"/>
  <c r="S55" i="4"/>
  <c r="Y44" i="4"/>
  <c r="P14" i="4"/>
  <c r="V31" i="4"/>
  <c r="M47" i="4"/>
  <c r="Y21" i="4"/>
  <c r="J26" i="4"/>
  <c r="S49" i="4"/>
  <c r="M26" i="4"/>
  <c r="G46" i="4"/>
  <c r="J11" i="4"/>
  <c r="P53" i="4"/>
  <c r="Y29" i="4"/>
  <c r="G17" i="4"/>
  <c r="G55" i="4"/>
  <c r="M50" i="4"/>
  <c r="S53" i="4"/>
  <c r="J15" i="4"/>
  <c r="M21" i="4"/>
  <c r="S57" i="4"/>
  <c r="G39" i="4"/>
  <c r="S51" i="4"/>
  <c r="G36" i="4"/>
  <c r="V58" i="4"/>
  <c r="S41" i="4"/>
  <c r="P22" i="4"/>
  <c r="J42" i="4"/>
  <c r="Y35" i="4"/>
  <c r="Y45" i="4"/>
  <c r="J24" i="4"/>
  <c r="J37" i="4"/>
  <c r="J52" i="4"/>
  <c r="J58" i="4"/>
  <c r="M46" i="4"/>
  <c r="M53" i="4"/>
  <c r="V34" i="4"/>
  <c r="M19" i="4"/>
  <c r="Y15" i="4"/>
  <c r="P45" i="4"/>
  <c r="J19" i="4"/>
  <c r="P54" i="4"/>
  <c r="S29" i="4"/>
  <c r="S36" i="4"/>
  <c r="J31" i="4"/>
  <c r="G32" i="4"/>
  <c r="J39" i="4"/>
  <c r="V27" i="4"/>
  <c r="G34" i="4"/>
  <c r="V15" i="4"/>
  <c r="Y23" i="4"/>
  <c r="J18" i="4"/>
  <c r="P11" i="4"/>
  <c r="J21" i="4"/>
  <c r="S45" i="4"/>
  <c r="Y52" i="4"/>
  <c r="J49" i="4"/>
  <c r="V11" i="4"/>
  <c r="P15" i="4"/>
  <c r="S44" i="4"/>
  <c r="S21" i="4"/>
  <c r="P36" i="4"/>
  <c r="G13" i="4"/>
  <c r="S16" i="4"/>
  <c r="V17" i="4"/>
  <c r="V28" i="4"/>
  <c r="G47" i="4"/>
  <c r="S31" i="4"/>
  <c r="P47" i="4"/>
  <c r="Y51" i="4"/>
  <c r="J44" i="4"/>
  <c r="J14" i="4"/>
  <c r="Y26" i="4"/>
  <c r="S34" i="4"/>
  <c r="V54" i="4"/>
  <c r="G30" i="4"/>
  <c r="J45" i="4"/>
  <c r="V46" i="4"/>
  <c r="G15" i="4"/>
  <c r="J43" i="4"/>
  <c r="P27" i="4"/>
  <c r="Y20" i="4"/>
  <c r="M57" i="4"/>
  <c r="P46" i="4"/>
  <c r="G20" i="4"/>
  <c r="Y46" i="4"/>
  <c r="V50" i="4"/>
  <c r="J40" i="4"/>
  <c r="G11" i="4"/>
  <c r="V25" i="4"/>
  <c r="P30" i="4"/>
  <c r="S18" i="4"/>
  <c r="J12" i="4"/>
  <c r="Y38" i="4"/>
  <c r="P55" i="4"/>
  <c r="G18" i="4"/>
  <c r="M20" i="4"/>
  <c r="S40" i="4"/>
  <c r="V52" i="4"/>
  <c r="V21" i="4"/>
  <c r="S56" i="4"/>
  <c r="G41" i="4"/>
  <c r="P33" i="4"/>
  <c r="M55" i="4"/>
  <c r="G48" i="4"/>
  <c r="Y27" i="4"/>
  <c r="J28" i="4"/>
  <c r="G28" i="4"/>
  <c r="V57" i="4"/>
  <c r="Y53" i="4"/>
  <c r="P58" i="4"/>
  <c r="P38" i="4"/>
  <c r="J46" i="4"/>
  <c r="J50" i="4"/>
  <c r="M49" i="4"/>
  <c r="S11" i="4"/>
  <c r="S52" i="4"/>
  <c r="J56" i="4"/>
  <c r="P49" i="4"/>
  <c r="Y36" i="4"/>
  <c r="V18" i="4"/>
  <c r="Y30" i="4"/>
  <c r="Y24" i="4"/>
  <c r="S46" i="4"/>
  <c r="M16" i="4"/>
  <c r="S37" i="4"/>
  <c r="J22" i="4"/>
  <c r="P19" i="4"/>
  <c r="J41" i="4"/>
  <c r="J54" i="4"/>
  <c r="P37" i="4"/>
  <c r="Y31" i="4"/>
  <c r="Y16" i="4"/>
  <c r="V39" i="4"/>
  <c r="J47" i="4"/>
  <c r="V24" i="4"/>
  <c r="P43" i="4"/>
  <c r="G49" i="4"/>
  <c r="M51" i="4"/>
  <c r="S19" i="4"/>
  <c r="Y55" i="4"/>
  <c r="V32" i="4"/>
  <c r="Y50" i="4"/>
  <c r="Y58" i="4"/>
  <c r="J57" i="4"/>
  <c r="S50" i="4"/>
  <c r="M15" i="4"/>
  <c r="M23" i="4"/>
  <c r="V16" i="4"/>
  <c r="J25" i="4"/>
  <c r="G33" i="4"/>
  <c r="J16" i="4"/>
  <c r="J20" i="4"/>
  <c r="P13" i="4"/>
  <c r="Y17" i="4"/>
  <c r="P44" i="4"/>
  <c r="Y56" i="4"/>
  <c r="G57" i="4"/>
  <c r="G12" i="4"/>
  <c r="P52" i="4"/>
  <c r="V43" i="4"/>
  <c r="G31" i="4"/>
  <c r="Y39" i="4"/>
  <c r="M25" i="4"/>
  <c r="P31" i="4"/>
  <c r="Y11" i="4"/>
  <c r="G44" i="4"/>
  <c r="G21" i="4"/>
  <c r="S26" i="4"/>
  <c r="G51" i="4"/>
  <c r="P12" i="4"/>
  <c r="S12" i="4"/>
  <c r="G29" i="4"/>
  <c r="S27" i="4"/>
  <c r="V26" i="4"/>
  <c r="G37" i="4"/>
  <c r="V29" i="4"/>
  <c r="V13" i="4"/>
  <c r="P56" i="4"/>
  <c r="V35" i="4"/>
  <c r="V47" i="4"/>
  <c r="P50" i="4"/>
  <c r="P16" i="4"/>
  <c r="P42" i="4"/>
  <c r="S47" i="4"/>
  <c r="G56" i="4"/>
  <c r="V30" i="4"/>
  <c r="Y12" i="4"/>
  <c r="Y57" i="4"/>
  <c r="S32" i="4"/>
  <c r="G38" i="4"/>
  <c r="U59" i="4" l="1"/>
  <c r="R59" i="4"/>
  <c r="I59" i="4"/>
  <c r="O59" i="4"/>
  <c r="Q59" i="4"/>
  <c r="N59" i="4"/>
  <c r="T59" i="4"/>
  <c r="AY37" i="4"/>
  <c r="K37" i="4" s="1"/>
  <c r="L37" i="4" s="1"/>
  <c r="AY32" i="4"/>
  <c r="K32" i="4" s="1"/>
  <c r="L32" i="4" s="1"/>
  <c r="AY40" i="4"/>
  <c r="K40" i="4" s="1"/>
  <c r="L40" i="4" s="1"/>
  <c r="AY44" i="4"/>
  <c r="K44" i="4" s="1"/>
  <c r="L44" i="4" s="1"/>
  <c r="AY27" i="4"/>
  <c r="K27" i="4" s="1"/>
  <c r="AY43" i="4"/>
  <c r="K43" i="4" s="1"/>
  <c r="L43" i="4" s="1"/>
  <c r="AY30" i="4"/>
  <c r="K30" i="4" s="1"/>
  <c r="L30" i="4" s="1"/>
  <c r="AY28" i="4"/>
  <c r="K28" i="4" s="1"/>
  <c r="L28" i="4" s="1"/>
  <c r="AY39" i="4"/>
  <c r="K39" i="4" s="1"/>
  <c r="L39" i="4" s="1"/>
  <c r="AY42" i="4"/>
  <c r="K42" i="4" s="1"/>
  <c r="L42" i="4" s="1"/>
  <c r="AY41" i="4"/>
  <c r="K41" i="4" s="1"/>
  <c r="L41" i="4" s="1"/>
  <c r="AY33" i="4"/>
  <c r="K33" i="4" s="1"/>
  <c r="L33" i="4" s="1"/>
  <c r="AY34" i="4"/>
  <c r="K34" i="4" s="1"/>
  <c r="L34" i="4" s="1"/>
  <c r="AY31" i="4"/>
  <c r="K31" i="4" s="1"/>
  <c r="L31" i="4" s="1"/>
  <c r="AY35" i="4"/>
  <c r="K35" i="4" s="1"/>
  <c r="L35" i="4" s="1"/>
  <c r="AY38" i="4"/>
  <c r="K38" i="4" s="1"/>
  <c r="L38" i="4" s="1"/>
  <c r="AY29" i="4"/>
  <c r="K29" i="4" s="1"/>
  <c r="L29" i="4" s="1"/>
  <c r="AY36" i="4"/>
  <c r="K36" i="4" s="1"/>
  <c r="L36" i="4" s="1"/>
  <c r="AX27" i="4"/>
  <c r="H27" i="4" s="1"/>
  <c r="AD60" i="4"/>
  <c r="P59" i="4"/>
  <c r="Y59" i="4"/>
  <c r="G59" i="4"/>
  <c r="S59" i="4"/>
  <c r="V59" i="4"/>
  <c r="AE60" i="4"/>
  <c r="AY45" i="4"/>
  <c r="K45" i="4" s="1"/>
  <c r="M35" i="4"/>
  <c r="M36" i="4"/>
  <c r="M27" i="4"/>
  <c r="M39" i="4"/>
  <c r="J27" i="4"/>
  <c r="M34" i="4"/>
  <c r="M41" i="4"/>
  <c r="M37" i="4"/>
  <c r="M44" i="4"/>
  <c r="M31" i="4"/>
  <c r="M40" i="4"/>
  <c r="M42" i="4"/>
  <c r="M29" i="4"/>
  <c r="M33" i="4"/>
  <c r="M38" i="4"/>
  <c r="M32" i="4"/>
  <c r="M28" i="4"/>
  <c r="M43" i="4"/>
  <c r="M30" i="4"/>
  <c r="J59" i="4" l="1"/>
  <c r="H59" i="4"/>
  <c r="L45" i="4"/>
  <c r="K59" i="4"/>
  <c r="M45" i="4"/>
  <c r="M59" i="4" l="1"/>
  <c r="G64" i="4" s="1"/>
  <c r="L59" i="4"/>
  <c r="G67" i="4" l="1"/>
  <c r="G73" i="4" s="1"/>
  <c r="G65"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BDD761-CC7E-4FA7-B690-EC1D2D1518F7}" keepAlive="1" name="Query - April" description="Connection to the 'April' query in the workbook." type="5" refreshedVersion="8" background="1" saveData="1">
    <dbPr connection="Provider=Microsoft.Mashup.OleDb.1;Data Source=$Workbook$;Location=April;Extended Properties=&quot;&quot;" command="SELECT * FROM [April]"/>
  </connection>
  <connection id="2" xr16:uid="{861D2400-D325-43BC-B2EA-2A7553A8BE27}" keepAlive="1" name="Query - June" description="Connection to the 'June' query in the workbook." type="5" refreshedVersion="8" background="1" saveData="1">
    <dbPr connection="Provider=Microsoft.Mashup.OleDb.1;Data Source=$Workbook$;Location=June;Extended Properties=&quot;&quot;" command="SELECT * FROM [June]"/>
  </connection>
  <connection id="3" xr16:uid="{40AF5FA1-BE23-43FD-AF1D-80D9CB580407}" keepAlive="1" name="Query - May" description="Connection to the 'May' query in the workbook." type="5" refreshedVersion="8" background="1" saveData="1">
    <dbPr connection="Provider=Microsoft.Mashup.OleDb.1;Data Source=$Workbook$;Location=May;Extended Properties=&quot;&quot;" command="SELECT * FROM [Ma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<sst xmlns="http://schemas.openxmlformats.org/spreadsheetml/2006/main" count="1388" uniqueCount="397">
  <si>
    <t>Week of</t>
  </si>
  <si>
    <t>Avg</t>
  </si>
  <si>
    <t>Half Hourly</t>
  </si>
  <si>
    <t>This sheet is designed to calculate call values based on the Weekly volume and interval %s entered at the right. Entering values directly into the Calls field will break this functionality. If you need to enter calls and AHT directly, the Basic Erland Staffing Template file is better suited.</t>
  </si>
  <si>
    <t>Weeekly Volume</t>
  </si>
  <si>
    <t>* Do not directly edit cells in this section *</t>
  </si>
  <si>
    <t>Service Level %</t>
  </si>
  <si>
    <t>To generate staffing calculations - Enter values into colored fields only</t>
  </si>
  <si>
    <t>Seconds</t>
  </si>
  <si>
    <t>Weekly and Interval Chat Distributions</t>
  </si>
  <si>
    <t>Weekly and Interval chats based on volume and distrubutions at right</t>
  </si>
  <si>
    <t>Sun</t>
  </si>
  <si>
    <t>Mon</t>
  </si>
  <si>
    <t>Tue</t>
  </si>
  <si>
    <t>Wed</t>
  </si>
  <si>
    <t>Thu</t>
  </si>
  <si>
    <t>Fri</t>
  </si>
  <si>
    <t>Sat</t>
  </si>
  <si>
    <t>Avg Handle Time</t>
  </si>
  <si>
    <t>Use for overall avg handle time or leave blank and populate green handle time grid at right to use individual interval handle times</t>
  </si>
  <si>
    <t>Daily %</t>
  </si>
  <si>
    <t>Interval Handle Times</t>
  </si>
  <si>
    <t>Chats</t>
  </si>
  <si>
    <t>AHT</t>
  </si>
  <si>
    <t>Agents</t>
  </si>
  <si>
    <t>Interval Daily Distribution %</t>
  </si>
  <si>
    <t>Total Chats/ Avg HT / Hours</t>
  </si>
  <si>
    <t>(Total 100%)</t>
  </si>
  <si>
    <t>Total Chat Hours for Week</t>
  </si>
  <si>
    <t>FTE Hours per work week</t>
  </si>
  <si>
    <t>FTE to Answer Inbound Chats</t>
  </si>
  <si>
    <t>Scheduling Inefficiency Factor</t>
  </si>
  <si>
    <t xml:space="preserve"> </t>
  </si>
  <si>
    <t xml:space="preserve">Rostered Factor (shrinkage) </t>
  </si>
  <si>
    <t xml:space="preserve"> Total FTE Requirement</t>
  </si>
  <si>
    <t>Avg Volume by Interval</t>
  </si>
  <si>
    <t>Dist % by Interval</t>
  </si>
  <si>
    <t>AHT by Interval</t>
  </si>
  <si>
    <t>Interval</t>
  </si>
  <si>
    <t>Overall AHT</t>
  </si>
  <si>
    <t>Date</t>
  </si>
  <si>
    <t>Weekly</t>
  </si>
  <si>
    <t>Week</t>
  </si>
  <si>
    <t>Calls</t>
  </si>
  <si>
    <t>Holiday</t>
  </si>
  <si>
    <t>This spreadsheet contains two Erlang calculation functions for staffing Hourly or Half Hourly - function parameters are the same for both functions</t>
  </si>
  <si>
    <t>Functions return the number of agents required to answer calls within the designated service level threshold based on calls and handle time</t>
  </si>
  <si>
    <t>Function</t>
  </si>
  <si>
    <t>Parameter Definitions</t>
  </si>
  <si>
    <t>Examples: change colored fields to test</t>
  </si>
  <si>
    <t>AgentsHourly()</t>
  </si>
  <si>
    <t>(Service Level %, Service Level Seconds, Calls per interval, Avg Handle Time seconds)</t>
  </si>
  <si>
    <t>AgentsHalfHour()</t>
  </si>
  <si>
    <t>Hourly</t>
  </si>
  <si>
    <t>Resolved</t>
  </si>
  <si>
    <t>Chat</t>
  </si>
  <si>
    <t>Requested</t>
  </si>
  <si>
    <t>Average Wait Time</t>
  </si>
  <si>
    <t>Expired/Declined</t>
  </si>
  <si>
    <t>Abandoned</t>
  </si>
  <si>
    <t>Total Chat Requests</t>
  </si>
  <si>
    <t>Average Handled Time</t>
  </si>
  <si>
    <t>Service level</t>
  </si>
  <si>
    <t>No of Resolved Requests</t>
  </si>
  <si>
    <t>Total Handle Time</t>
  </si>
  <si>
    <t>Wednesday</t>
  </si>
  <si>
    <t>00:12:22</t>
  </si>
  <si>
    <t>Column Labels</t>
  </si>
  <si>
    <t>Row Labels</t>
  </si>
  <si>
    <t>Monday</t>
  </si>
  <si>
    <t>Tuesday</t>
  </si>
  <si>
    <t>Thursday</t>
  </si>
  <si>
    <t>Friday</t>
  </si>
  <si>
    <t>Grand Total</t>
  </si>
  <si>
    <t>00:13:52</t>
  </si>
  <si>
    <t>00:12:01</t>
  </si>
  <si>
    <t>00:15:00</t>
  </si>
  <si>
    <t>00:14:10</t>
  </si>
  <si>
    <t>00:11:10</t>
  </si>
  <si>
    <t>Average of AHT</t>
  </si>
  <si>
    <t>00:14:34</t>
  </si>
  <si>
    <t>00:13:18</t>
  </si>
  <si>
    <t>00:11:25</t>
  </si>
  <si>
    <t>Leave Blank</t>
  </si>
  <si>
    <t>00:13:28</t>
  </si>
  <si>
    <t>00:09:00</t>
  </si>
  <si>
    <t>SL</t>
  </si>
  <si>
    <t>AWT</t>
  </si>
  <si>
    <t>00:14:54</t>
  </si>
  <si>
    <t>00:01:15</t>
  </si>
  <si>
    <t>00:12:58</t>
  </si>
  <si>
    <t>(blank)</t>
  </si>
  <si>
    <t>00:00:15</t>
  </si>
  <si>
    <t>00:01:29</t>
  </si>
  <si>
    <t>AM</t>
  </si>
  <si>
    <t>PM</t>
  </si>
  <si>
    <t>00:14:11</t>
  </si>
  <si>
    <t>00:14:18</t>
  </si>
  <si>
    <t>00:13:24</t>
  </si>
  <si>
    <t>00:13:05</t>
  </si>
  <si>
    <t>00:16:34</t>
  </si>
  <si>
    <t>00:14:45</t>
  </si>
  <si>
    <t>00:16:05</t>
  </si>
  <si>
    <t>00:00:53</t>
  </si>
  <si>
    <t>00:13:03</t>
  </si>
  <si>
    <t>00:00:55</t>
  </si>
  <si>
    <t>00:00:12</t>
  </si>
  <si>
    <t>Sum of Total Chat Requests</t>
  </si>
  <si>
    <t>AM/PM</t>
  </si>
  <si>
    <t>Hour</t>
  </si>
  <si>
    <t>Sum of Abandoned</t>
  </si>
  <si>
    <t>00:00:17</t>
  </si>
  <si>
    <t>00:14:08</t>
  </si>
  <si>
    <t>00:00:10</t>
  </si>
  <si>
    <t>00:02:54</t>
  </si>
  <si>
    <t>00:09:47</t>
  </si>
  <si>
    <t>00:16:00</t>
  </si>
  <si>
    <t>00:00:30</t>
  </si>
  <si>
    <t>00:00:08</t>
  </si>
  <si>
    <t>00:00:09</t>
  </si>
  <si>
    <t>00:17:03</t>
  </si>
  <si>
    <t>00:00:31</t>
  </si>
  <si>
    <t>00:16:15</t>
  </si>
  <si>
    <t>00:00:21</t>
  </si>
  <si>
    <t>00:00:11</t>
  </si>
  <si>
    <t>00:00:13</t>
  </si>
  <si>
    <t>00:00:22</t>
  </si>
  <si>
    <t>00:00:42</t>
  </si>
  <si>
    <t>00:00:05</t>
  </si>
  <si>
    <t>00:00:27</t>
  </si>
  <si>
    <t>00:00:26</t>
  </si>
  <si>
    <t>00:00:18</t>
  </si>
  <si>
    <t>00:03:24</t>
  </si>
  <si>
    <t>00:13:36</t>
  </si>
  <si>
    <t>00:00:20</t>
  </si>
  <si>
    <t>00:16:51</t>
  </si>
  <si>
    <t>00:02:27</t>
  </si>
  <si>
    <t>00:01:04</t>
  </si>
  <si>
    <t>00:00:14</t>
  </si>
  <si>
    <t>00:14:50</t>
  </si>
  <si>
    <t>00:14:15</t>
  </si>
  <si>
    <t>00:14:28</t>
  </si>
  <si>
    <t>00:13:47</t>
  </si>
  <si>
    <t>00:00:54</t>
  </si>
  <si>
    <t>00:11:48</t>
  </si>
  <si>
    <t>00:15:25</t>
  </si>
  <si>
    <t>00:11:45</t>
  </si>
  <si>
    <t>00:13:19</t>
  </si>
  <si>
    <t>00:00:43</t>
  </si>
  <si>
    <t>00:00:06</t>
  </si>
  <si>
    <t>00:00:07</t>
  </si>
  <si>
    <t>00:00:24</t>
  </si>
  <si>
    <t>00:13:41</t>
  </si>
  <si>
    <t>00:15:30</t>
  </si>
  <si>
    <t>00:17:32</t>
  </si>
  <si>
    <t>00:00:35</t>
  </si>
  <si>
    <t>00:15:53</t>
  </si>
  <si>
    <t>00:13:48</t>
  </si>
  <si>
    <t>00:14:12</t>
  </si>
  <si>
    <t>00:00:23</t>
  </si>
  <si>
    <t>00:15:07</t>
  </si>
  <si>
    <t>00:01:30</t>
  </si>
  <si>
    <t>00:16:43</t>
  </si>
  <si>
    <t>00:01:59</t>
  </si>
  <si>
    <t>00:00:16</t>
  </si>
  <si>
    <t>00:00:45</t>
  </si>
  <si>
    <t>00:15:20</t>
  </si>
  <si>
    <t>00:02:57</t>
  </si>
  <si>
    <t>00:13:10</t>
  </si>
  <si>
    <t>00:00:34</t>
  </si>
  <si>
    <t>00:10:46</t>
  </si>
  <si>
    <t>00:02:31</t>
  </si>
  <si>
    <t>00:01:06</t>
  </si>
  <si>
    <t>00:01:09</t>
  </si>
  <si>
    <t>00:15:36</t>
  </si>
  <si>
    <t>00:16:29</t>
  </si>
  <si>
    <t>00:15:06</t>
  </si>
  <si>
    <t>00:15:52</t>
  </si>
  <si>
    <t>00:02:42</t>
  </si>
  <si>
    <t>00:13:33</t>
  </si>
  <si>
    <t>00:00:32</t>
  </si>
  <si>
    <t>00:13:56</t>
  </si>
  <si>
    <t>00:03:15</t>
  </si>
  <si>
    <t>00:05:05</t>
  </si>
  <si>
    <t>00:02:29</t>
  </si>
  <si>
    <t>00:01:41</t>
  </si>
  <si>
    <t>00:00:56</t>
  </si>
  <si>
    <t>00:00:37</t>
  </si>
  <si>
    <t>00:00:19</t>
  </si>
  <si>
    <t>00:02:28</t>
  </si>
  <si>
    <t>00:03:36</t>
  </si>
  <si>
    <t>00:00:44</t>
  </si>
  <si>
    <t>00:00:25</t>
  </si>
  <si>
    <t>00:02:00</t>
  </si>
  <si>
    <t>00:00:46</t>
  </si>
  <si>
    <t>00:02:58</t>
  </si>
  <si>
    <t>00:00:29</t>
  </si>
  <si>
    <t>00:01:07</t>
  </si>
  <si>
    <t>00:00:33</t>
  </si>
  <si>
    <t>00:02:48</t>
  </si>
  <si>
    <t>00:14:05</t>
  </si>
  <si>
    <t>00:12:49</t>
  </si>
  <si>
    <t>Avg Chat Hours p/ Day</t>
  </si>
  <si>
    <t>Hourly Only</t>
  </si>
  <si>
    <t>00:00:38</t>
  </si>
  <si>
    <t>00:01:26</t>
  </si>
  <si>
    <t>00:02:32</t>
  </si>
  <si>
    <t>00:08:22</t>
  </si>
  <si>
    <t>00:12:14</t>
  </si>
  <si>
    <t>00:13:04</t>
  </si>
  <si>
    <t>00:16:30</t>
  </si>
  <si>
    <t>00:10:18</t>
  </si>
  <si>
    <t>00:12:36</t>
  </si>
  <si>
    <t>00:15:31</t>
  </si>
  <si>
    <t>00:13:37</t>
  </si>
  <si>
    <t>00:01:42</t>
  </si>
  <si>
    <t>00:15:28</t>
  </si>
  <si>
    <t>00:17:52</t>
  </si>
  <si>
    <t>00:01:02</t>
  </si>
  <si>
    <t>00:16:11</t>
  </si>
  <si>
    <t>00:13:42</t>
  </si>
  <si>
    <t>00:21:30</t>
  </si>
  <si>
    <t>00:14:25</t>
  </si>
  <si>
    <t>00:17:07</t>
  </si>
  <si>
    <t>00:13:38</t>
  </si>
  <si>
    <t>00:01:48</t>
  </si>
  <si>
    <t>00:13:45</t>
  </si>
  <si>
    <t>00:13:43</t>
  </si>
  <si>
    <t>00:13:00</t>
  </si>
  <si>
    <t>00:14:00</t>
  </si>
  <si>
    <t>00:13:30</t>
  </si>
  <si>
    <t>00:18:00</t>
  </si>
  <si>
    <t>00:16:10</t>
  </si>
  <si>
    <t>00:13:29</t>
  </si>
  <si>
    <t>00:03:19</t>
  </si>
  <si>
    <t>00:12:47</t>
  </si>
  <si>
    <t>00:19:16</t>
  </si>
  <si>
    <t>00:15:47</t>
  </si>
  <si>
    <t>00:12:40</t>
  </si>
  <si>
    <t>00:15:12</t>
  </si>
  <si>
    <t>00:01:56</t>
  </si>
  <si>
    <t>00:01:50</t>
  </si>
  <si>
    <t>00:10:42</t>
  </si>
  <si>
    <t>00:13:49</t>
  </si>
  <si>
    <t>00:15:51</t>
  </si>
  <si>
    <t>00:13:46</t>
  </si>
  <si>
    <t>00:17:38</t>
  </si>
  <si>
    <t>00:18:16</t>
  </si>
  <si>
    <t>00:14:51</t>
  </si>
  <si>
    <t>00:01:03</t>
  </si>
  <si>
    <t>00:15:21</t>
  </si>
  <si>
    <t>00:14:31</t>
  </si>
  <si>
    <t>00:10:54</t>
  </si>
  <si>
    <t>00:15:18</t>
  </si>
  <si>
    <t>00:16:16</t>
  </si>
  <si>
    <t>00:15:24</t>
  </si>
  <si>
    <t>00:13:14</t>
  </si>
  <si>
    <t>00:17:00</t>
  </si>
  <si>
    <t>00:03:37</t>
  </si>
  <si>
    <t>00:14:43</t>
  </si>
  <si>
    <t>00:16:18</t>
  </si>
  <si>
    <t>00:13:44</t>
  </si>
  <si>
    <t>00:16:36</t>
  </si>
  <si>
    <t>00:17:55</t>
  </si>
  <si>
    <t>00:14:30</t>
  </si>
  <si>
    <t>00:16:06</t>
  </si>
  <si>
    <t>00:10:57</t>
  </si>
  <si>
    <t>00:16:48</t>
  </si>
  <si>
    <t>00:16:28</t>
  </si>
  <si>
    <t>00:18:07</t>
  </si>
  <si>
    <t>00:15:45</t>
  </si>
  <si>
    <t>00:11:11</t>
  </si>
  <si>
    <t>00:15:55</t>
  </si>
  <si>
    <t>00:12:41</t>
  </si>
  <si>
    <t>00:12:48</t>
  </si>
  <si>
    <t>00:14:57</t>
  </si>
  <si>
    <t>00:15:09</t>
  </si>
  <si>
    <t>00:16:42</t>
  </si>
  <si>
    <t>00:04:30</t>
  </si>
  <si>
    <t>00:13:06</t>
  </si>
  <si>
    <t>00:19:55</t>
  </si>
  <si>
    <t>00:02:11</t>
  </si>
  <si>
    <t>00:11:24</t>
  </si>
  <si>
    <t>00:05:06</t>
  </si>
  <si>
    <t>00:15:58</t>
  </si>
  <si>
    <t>00:06:48</t>
  </si>
  <si>
    <t>00:12:23</t>
  </si>
  <si>
    <t>00:05:14</t>
  </si>
  <si>
    <t>00:11:31</t>
  </si>
  <si>
    <t>00:01:16</t>
  </si>
  <si>
    <t>00:13:23</t>
  </si>
  <si>
    <t>00:07:11</t>
  </si>
  <si>
    <t>00:08:39</t>
  </si>
  <si>
    <t>00:22:00</t>
  </si>
  <si>
    <t>00:03:02</t>
  </si>
  <si>
    <t>00:01:55</t>
  </si>
  <si>
    <t>00:03:23</t>
  </si>
  <si>
    <t>00:20:15</t>
  </si>
  <si>
    <t>00:15:42</t>
  </si>
  <si>
    <t>00:18:42</t>
  </si>
  <si>
    <t>00:17:05</t>
  </si>
  <si>
    <t>00:17:18</t>
  </si>
  <si>
    <t>00:11:01</t>
  </si>
  <si>
    <t>00:02:06</t>
  </si>
  <si>
    <t>00:07:48</t>
  </si>
  <si>
    <t>00:15:56</t>
  </si>
  <si>
    <t>00:11:07</t>
  </si>
  <si>
    <t>00:20:47</t>
  </si>
  <si>
    <t>00:16:39</t>
  </si>
  <si>
    <t>00:02:53</t>
  </si>
  <si>
    <t>00:16:46</t>
  </si>
  <si>
    <t>00:09:45</t>
  </si>
  <si>
    <t>00:11:13</t>
  </si>
  <si>
    <t>00:01:57</t>
  </si>
  <si>
    <t>00:46:03</t>
  </si>
  <si>
    <t>00:02:41</t>
  </si>
  <si>
    <t>00:21:18</t>
  </si>
  <si>
    <t>00:12:32</t>
  </si>
  <si>
    <t>00:18:27</t>
  </si>
  <si>
    <t>00:20:36</t>
  </si>
  <si>
    <t>00:19:48</t>
  </si>
  <si>
    <t>00:17:39</t>
  </si>
  <si>
    <t>00:18:10</t>
  </si>
  <si>
    <t>00:05:04</t>
  </si>
  <si>
    <t>00:04:13</t>
  </si>
  <si>
    <t>00:03:49</t>
  </si>
  <si>
    <t>00:16:31</t>
  </si>
  <si>
    <t>00:17:33</t>
  </si>
  <si>
    <t>00:16:35</t>
  </si>
  <si>
    <t>00:12:34</t>
  </si>
  <si>
    <t>00:20:55</t>
  </si>
  <si>
    <t>00:01:49</t>
  </si>
  <si>
    <t>00:02:35</t>
  </si>
  <si>
    <t>00:18:36</t>
  </si>
  <si>
    <t>00:00:57</t>
  </si>
  <si>
    <t>00:18:35</t>
  </si>
  <si>
    <t>00:18:45</t>
  </si>
  <si>
    <t>00:28:00</t>
  </si>
  <si>
    <t>00:01:08</t>
  </si>
  <si>
    <t>00:19:51</t>
  </si>
  <si>
    <t>00:12:44</t>
  </si>
  <si>
    <t>00:23:46</t>
  </si>
  <si>
    <t>00:20:33</t>
  </si>
  <si>
    <t>00:12:02</t>
  </si>
  <si>
    <t>00:06:49</t>
  </si>
  <si>
    <t>00:03:20</t>
  </si>
  <si>
    <t>x</t>
  </si>
  <si>
    <t>Avg w Holiday</t>
  </si>
  <si>
    <t>00:03:16</t>
  </si>
  <si>
    <t>00:04:31</t>
  </si>
  <si>
    <t>00:02:12</t>
  </si>
  <si>
    <t>00:02:30</t>
  </si>
  <si>
    <t>00:08:23</t>
  </si>
  <si>
    <t>00:05:07</t>
  </si>
  <si>
    <t>00:05:15</t>
  </si>
  <si>
    <t>00:07:12</t>
  </si>
  <si>
    <t>00:08:40</t>
  </si>
  <si>
    <t>00:03:03</t>
  </si>
  <si>
    <t>00:02:49</t>
  </si>
  <si>
    <t>00:02:07</t>
  </si>
  <si>
    <t>00:07:49</t>
  </si>
  <si>
    <t>00:01:58</t>
  </si>
  <si>
    <t>00:10:43</t>
  </si>
  <si>
    <t>00:04:14</t>
  </si>
  <si>
    <t>00:03:50</t>
  </si>
  <si>
    <t>00:02:36</t>
  </si>
  <si>
    <t>1-Dec</t>
  </si>
  <si>
    <t>2-Dec</t>
  </si>
  <si>
    <t>5-Dec</t>
  </si>
  <si>
    <t>6-Dec</t>
  </si>
  <si>
    <t>7-Dec</t>
  </si>
  <si>
    <t>8-Dec</t>
  </si>
  <si>
    <t>9-Dec</t>
  </si>
  <si>
    <t>12-Dec</t>
  </si>
  <si>
    <t>13-Dec</t>
  </si>
  <si>
    <t>14-Dec</t>
  </si>
  <si>
    <t>15-Dec</t>
  </si>
  <si>
    <t>16-Dec</t>
  </si>
  <si>
    <t>19-Dec</t>
  </si>
  <si>
    <t>20-Dec</t>
  </si>
  <si>
    <t>21-Dec</t>
  </si>
  <si>
    <t>22-Dec</t>
  </si>
  <si>
    <t>23-Dec</t>
  </si>
  <si>
    <t>27-Dec</t>
  </si>
  <si>
    <t>28-Dec</t>
  </si>
  <si>
    <t>29-Dec</t>
  </si>
  <si>
    <t>30-Dec</t>
  </si>
  <si>
    <t>Forecast Date</t>
  </si>
  <si>
    <t>Forecast Request</t>
  </si>
  <si>
    <t>Forecast Version</t>
  </si>
  <si>
    <t>Month</t>
  </si>
  <si>
    <t>December</t>
  </si>
  <si>
    <t>Month Forecast</t>
  </si>
  <si>
    <t>January</t>
  </si>
  <si>
    <t>February</t>
  </si>
  <si>
    <t>March</t>
  </si>
  <si>
    <t>April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</si>
</sst>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ddd"/>
    <numFmt numFmtId="167" formatCode="[$-F800]dddd\,\ mmmm\ dd\,\ yyyy"/>
    <numFmt numFmtId="168" formatCode="#,##0&quot;&quot;;\-#,##0&quot;&quot;"/>
    <numFmt numFmtId="169" formatCode="#,##0.00&quot;%&quot;;\-#,##0.00&quot;%&quot;"/>
  </numFmts>
  <fonts count="16"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1"/>
      <name val="Arial"/>
      <family val="2"/>
    </font>
    <font>
      <b/>
      <sz val="10"/>
      <name val="Arial"/>
      <family val="2"/>
    </font>
    <font>
      <b/>
      <sz val="10"/>
      <color theme="1"/>
      <name val="Arial"/>
      <family val="2"/>
    </font>
    <font>
      <sz val="12"/>
      <color theme="1"/>
      <name val="Arial"/>
      <family val="2"/>
    </font>
    <font>
      <sz val="20"/>
      <color theme="1"/>
      <name val="Arial"/>
      <family val="2"/>
    </font>
    <font>
      <sz val="14"/>
      <color rgb="FFFF0000"/>
      <name val="Arial"/>
      <family val="2"/>
    </font>
    <font>
      <sz val="10"/>
      <color theme="0" tint="-0.34998626667073579"/>
      <name val="Arial"/>
      <family val="2"/>
    </font>
    <font>
      <sz val="11"/>
      <color theme="0" tint="-0.34998626667073579"/>
      <name val="Calibri"/>
      <family val="2"/>
      <scheme val="minor"/>
    </font>
    <font>
      <sz val="10"/>
      <name val="Arial"/>
      <family val="2"/>
    </font>
    <font>
      <sz val="8"/>
      <name val="Calibri"/>
      <family val="2"/>
      <scheme val="minor"/>
    </font>
    <font>
      <b/>
      <sz val="11"/>
      <name val="Calibri"/>
      <family val="2"/>
    </font>
    <font>
      <b/>
      <i/>
      <sz val="11"/>
      <name val="Calibri"/>
      <family val="2"/>
    </font>
  </fonts>
  <fills count="8">
    <fill>
      <patternFill patternType="none"/>
    </fill>
    <fill>
      <patternFill patternType="gray125"/>
    </fill>
    <fill>
      <patternFill patternType="solid">
        <fgColor rgb="FFE5FFE5"/>
        <bgColor indexed="64"/>
      </patternFill>
    </fill>
    <fill>
      <patternFill patternType="solid">
        <fgColor theme="5" tint="0.79998168889431442"/>
        <bgColor indexed="65"/>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9" fontId="1" fillId="0" borderId="0" applyFont="0" applyFill="0" applyBorder="0" applyAlignment="0" applyProtection="0"/>
    <xf numFmtId="0" fontId="1" fillId="3" borderId="0" applyNumberFormat="0" applyBorder="0" applyAlignment="0" applyProtection="0"/>
    <xf numFmtId="0" fontId="12" fillId="0" borderId="0"/>
  </cellStyleXfs>
  <cellXfs count="105">
    <xf numFmtId="0" fontId="0" fillId="0" borderId="0" xfId="0"/>
    <xf numFmtId="0" fontId="0" fillId="0" borderId="0" xfId="0" applyAlignment="1">
      <alignment horizontal="center"/>
    </xf>
    <xf numFmtId="0" fontId="4" fillId="0" borderId="0" xfId="0" applyFont="1"/>
    <xf numFmtId="0" fontId="4" fillId="0" borderId="1" xfId="0" applyFont="1" applyBorder="1"/>
    <xf numFmtId="20" fontId="4" fillId="0" borderId="0" xfId="0" applyNumberFormat="1" applyFont="1"/>
    <xf numFmtId="1" fontId="4" fillId="0" borderId="0" xfId="0" applyNumberFormat="1" applyFont="1"/>
    <xf numFmtId="0" fontId="3" fillId="0" borderId="0" xfId="0" applyFont="1"/>
    <xf numFmtId="1" fontId="3" fillId="0" borderId="0" xfId="0" applyNumberFormat="1" applyFont="1"/>
    <xf numFmtId="164" fontId="3" fillId="0" borderId="0" xfId="0" applyNumberFormat="1" applyFont="1"/>
    <xf numFmtId="0" fontId="3" fillId="0" borderId="0" xfId="0" applyFont="1" applyAlignment="1">
      <alignment horizontal="left" indent="1"/>
    </xf>
    <xf numFmtId="9" fontId="3" fillId="0" borderId="0" xfId="0" applyNumberFormat="1" applyFont="1"/>
    <xf numFmtId="1" fontId="5" fillId="0" borderId="0" xfId="0" applyNumberFormat="1" applyFont="1"/>
    <xf numFmtId="0" fontId="4" fillId="0" borderId="5" xfId="0" applyFont="1" applyBorder="1"/>
    <xf numFmtId="0" fontId="4" fillId="0" borderId="6" xfId="0" applyFont="1" applyBorder="1"/>
    <xf numFmtId="0" fontId="4" fillId="0" borderId="7" xfId="0" applyFont="1" applyBorder="1"/>
    <xf numFmtId="0" fontId="4" fillId="0" borderId="8" xfId="0" applyFont="1" applyBorder="1"/>
    <xf numFmtId="20" fontId="4" fillId="0" borderId="9" xfId="0" applyNumberFormat="1" applyFont="1" applyBorder="1"/>
    <xf numFmtId="20" fontId="4" fillId="0" borderId="10" xfId="0" applyNumberFormat="1" applyFont="1" applyBorder="1"/>
    <xf numFmtId="20" fontId="4" fillId="0" borderId="11" xfId="0" applyNumberFormat="1" applyFont="1" applyBorder="1"/>
    <xf numFmtId="0" fontId="6" fillId="0" borderId="13" xfId="0" applyFont="1" applyBorder="1"/>
    <xf numFmtId="1" fontId="6" fillId="0" borderId="13" xfId="0" applyNumberFormat="1" applyFont="1" applyBorder="1"/>
    <xf numFmtId="0" fontId="6" fillId="0" borderId="14" xfId="0" applyFont="1" applyBorder="1"/>
    <xf numFmtId="1" fontId="3" fillId="2" borderId="1" xfId="0" applyNumberFormat="1" applyFont="1" applyFill="1" applyBorder="1"/>
    <xf numFmtId="9" fontId="3" fillId="2" borderId="1" xfId="1" applyFont="1" applyFill="1" applyBorder="1"/>
    <xf numFmtId="0" fontId="0" fillId="0" borderId="0" xfId="0" applyAlignment="1">
      <alignment horizontal="left"/>
    </xf>
    <xf numFmtId="0" fontId="2" fillId="0" borderId="0" xfId="0" applyFont="1"/>
    <xf numFmtId="1" fontId="3" fillId="5" borderId="1" xfId="0" applyNumberFormat="1" applyFont="1" applyFill="1" applyBorder="1"/>
    <xf numFmtId="9" fontId="4" fillId="0" borderId="0" xfId="0" applyNumberFormat="1" applyFont="1"/>
    <xf numFmtId="165" fontId="3" fillId="2" borderId="1" xfId="1" applyNumberFormat="1" applyFont="1" applyFill="1" applyBorder="1"/>
    <xf numFmtId="0" fontId="10" fillId="6" borderId="17" xfId="0" applyFont="1" applyFill="1" applyBorder="1"/>
    <xf numFmtId="0" fontId="10" fillId="6" borderId="18" xfId="0" applyFont="1" applyFill="1" applyBorder="1"/>
    <xf numFmtId="0" fontId="10" fillId="6" borderId="19" xfId="0" applyFont="1" applyFill="1" applyBorder="1"/>
    <xf numFmtId="0" fontId="10" fillId="6" borderId="20" xfId="0" applyFont="1" applyFill="1" applyBorder="1"/>
    <xf numFmtId="0" fontId="10" fillId="6" borderId="21" xfId="0" applyFont="1" applyFill="1" applyBorder="1"/>
    <xf numFmtId="164" fontId="10" fillId="6" borderId="0" xfId="0" applyNumberFormat="1" applyFont="1" applyFill="1"/>
    <xf numFmtId="164" fontId="10" fillId="6" borderId="21" xfId="0" applyNumberFormat="1" applyFont="1" applyFill="1" applyBorder="1"/>
    <xf numFmtId="0" fontId="10" fillId="6" borderId="0" xfId="0" applyFont="1" applyFill="1"/>
    <xf numFmtId="20" fontId="10" fillId="6" borderId="20" xfId="0" applyNumberFormat="1" applyFont="1" applyFill="1" applyBorder="1"/>
    <xf numFmtId="164" fontId="10" fillId="6" borderId="0" xfId="0" applyNumberFormat="1" applyFont="1" applyFill="1" applyAlignment="1">
      <alignment horizontal="center"/>
    </xf>
    <xf numFmtId="164" fontId="10" fillId="6" borderId="21" xfId="0" applyNumberFormat="1" applyFont="1" applyFill="1" applyBorder="1" applyAlignment="1">
      <alignment horizontal="center"/>
    </xf>
    <xf numFmtId="0" fontId="11" fillId="6" borderId="0" xfId="0" applyFont="1" applyFill="1" applyAlignment="1">
      <alignment horizontal="center"/>
    </xf>
    <xf numFmtId="0" fontId="11" fillId="6" borderId="21" xfId="0" applyFont="1" applyFill="1" applyBorder="1" applyAlignment="1">
      <alignment horizontal="center"/>
    </xf>
    <xf numFmtId="20" fontId="10" fillId="6" borderId="22" xfId="0" applyNumberFormat="1" applyFont="1" applyFill="1" applyBorder="1"/>
    <xf numFmtId="164" fontId="10" fillId="6" borderId="23" xfId="0" applyNumberFormat="1" applyFont="1" applyFill="1" applyBorder="1"/>
    <xf numFmtId="164" fontId="10" fillId="6" borderId="24" xfId="0" applyNumberFormat="1" applyFont="1" applyFill="1" applyBorder="1"/>
    <xf numFmtId="0" fontId="4" fillId="5" borderId="6" xfId="0" applyFont="1" applyFill="1" applyBorder="1"/>
    <xf numFmtId="0" fontId="4" fillId="0" borderId="16" xfId="0" applyFont="1" applyBorder="1"/>
    <xf numFmtId="1" fontId="3" fillId="2" borderId="1" xfId="1" applyNumberFormat="1" applyFont="1" applyFill="1" applyBorder="1"/>
    <xf numFmtId="0" fontId="0" fillId="0" borderId="29" xfId="0" applyBorder="1"/>
    <xf numFmtId="0" fontId="0" fillId="0" borderId="27" xfId="0" applyBorder="1"/>
    <xf numFmtId="0" fontId="0" fillId="0" borderId="30" xfId="0" applyBorder="1"/>
    <xf numFmtId="0" fontId="2" fillId="0" borderId="0" xfId="0" applyFont="1" applyAlignment="1">
      <alignment horizontal="center"/>
    </xf>
    <xf numFmtId="166" fontId="0" fillId="0" borderId="0" xfId="0" applyNumberFormat="1"/>
    <xf numFmtId="14" fontId="0" fillId="0" borderId="0" xfId="0" applyNumberFormat="1"/>
    <xf numFmtId="1" fontId="0" fillId="0" borderId="0" xfId="0" applyNumberFormat="1"/>
    <xf numFmtId="9" fontId="0" fillId="0" borderId="0" xfId="1" applyFont="1"/>
    <xf numFmtId="18" fontId="0" fillId="0" borderId="0" xfId="0" applyNumberFormat="1"/>
    <xf numFmtId="1" fontId="2" fillId="0" borderId="0" xfId="0" applyNumberFormat="1" applyFont="1"/>
    <xf numFmtId="167" fontId="0" fillId="0" borderId="0" xfId="0" applyNumberFormat="1"/>
    <xf numFmtId="0" fontId="14" fillId="0" borderId="0" xfId="0" applyFont="1"/>
    <xf numFmtId="0" fontId="0" fillId="0" borderId="0" xfId="0" applyAlignment="1">
      <alignment wrapText="1"/>
    </xf>
    <xf numFmtId="168" fontId="0" fillId="0" borderId="0" xfId="0" applyNumberFormat="1"/>
    <xf numFmtId="14" fontId="0" fillId="0" borderId="0" xfId="0" applyNumberFormat="1" applyAlignment="1">
      <alignment wrapText="1"/>
    </xf>
    <xf numFmtId="20" fontId="0" fillId="0" borderId="0" xfId="0" applyNumberFormat="1" applyAlignment="1">
      <alignment wrapText="1"/>
    </xf>
    <xf numFmtId="0" fontId="0" fillId="0" borderId="0" xfId="0" pivotButton="1"/>
    <xf numFmtId="0" fontId="15" fillId="0" borderId="0" xfId="0" applyFont="1"/>
    <xf numFmtId="20" fontId="0" fillId="0" borderId="0" xfId="0" applyNumberFormat="1"/>
    <xf numFmtId="0" fontId="3" fillId="0" borderId="0" xfId="0" applyFont="1" applyAlignment="1">
      <alignment horizontal="left"/>
    </xf>
    <xf numFmtId="169" fontId="0" fillId="0" borderId="0" xfId="0" applyNumberFormat="1"/>
    <xf numFmtId="19" fontId="0" fillId="0" borderId="0" xfId="0" applyNumberFormat="1" applyAlignment="1">
      <alignment horizontal="left"/>
    </xf>
    <xf numFmtId="9" fontId="0" fillId="0" borderId="0" xfId="0" applyNumberFormat="1"/>
    <xf numFmtId="16" fontId="0" fillId="0" borderId="0" xfId="0" applyNumberFormat="1"/>
    <xf numFmtId="0" fontId="5" fillId="0" borderId="0" xfId="0" applyFont="1" applyAlignment="1"/>
    <xf numFmtId="0" fontId="3" fillId="0" borderId="0" xfId="0" applyFont="1" applyAlignment="1"/>
    <xf numFmtId="0" fontId="4" fillId="0" borderId="2" xfId="0" applyFont="1" applyBorder="1" applyAlignment="1">
      <alignment horizontal="left"/>
    </xf>
    <xf numFmtId="0" fontId="4" fillId="0" borderId="3" xfId="0" applyFont="1" applyBorder="1" applyAlignment="1">
      <alignment horizontal="left"/>
    </xf>
    <xf numFmtId="0" fontId="4" fillId="0" borderId="4" xfId="0" applyFont="1" applyBorder="1" applyAlignment="1">
      <alignment horizontal="left"/>
    </xf>
    <xf numFmtId="0" fontId="7" fillId="0" borderId="0" xfId="0" applyFont="1" applyAlignment="1">
      <alignment horizontal="center"/>
    </xf>
    <xf numFmtId="0" fontId="3" fillId="0" borderId="0" xfId="0" applyFont="1" applyAlignment="1">
      <alignment horizontal="left"/>
    </xf>
    <xf numFmtId="0" fontId="5" fillId="0" borderId="0" xfId="0" applyFont="1" applyAlignment="1">
      <alignment horizontal="left"/>
    </xf>
    <xf numFmtId="0" fontId="4" fillId="0" borderId="25" xfId="0" applyFont="1" applyBorder="1" applyAlignment="1">
      <alignment horizontal="center"/>
    </xf>
    <xf numFmtId="0" fontId="4" fillId="0" borderId="28" xfId="0" applyFont="1" applyBorder="1" applyAlignment="1">
      <alignment horizontal="center"/>
    </xf>
    <xf numFmtId="0" fontId="4" fillId="0" borderId="26" xfId="0" applyFont="1" applyBorder="1" applyAlignment="1">
      <alignment horizontal="center"/>
    </xf>
    <xf numFmtId="0" fontId="6" fillId="0" borderId="12" xfId="0" applyFont="1" applyBorder="1" applyAlignment="1">
      <alignment horizontal="left"/>
    </xf>
    <xf numFmtId="0" fontId="6" fillId="0" borderId="13" xfId="0" applyFont="1" applyBorder="1" applyAlignment="1">
      <alignment horizontal="left"/>
    </xf>
    <xf numFmtId="0" fontId="9" fillId="6" borderId="0" xfId="0" applyFont="1" applyFill="1" applyAlignment="1">
      <alignment horizontal="center" vertical="center"/>
    </xf>
    <xf numFmtId="0" fontId="10" fillId="6" borderId="0" xfId="0" applyFont="1" applyFill="1" applyAlignment="1">
      <alignment horizontal="center"/>
    </xf>
    <xf numFmtId="0" fontId="10" fillId="6" borderId="21" xfId="0" applyFont="1" applyFill="1" applyBorder="1" applyAlignment="1">
      <alignment horizontal="center"/>
    </xf>
    <xf numFmtId="0" fontId="4" fillId="0" borderId="0" xfId="0" applyFont="1" applyAlignment="1">
      <alignment horizontal="right"/>
    </xf>
    <xf numFmtId="0" fontId="4" fillId="0" borderId="15" xfId="0" applyFont="1" applyBorder="1" applyAlignment="1">
      <alignment horizontal="right"/>
    </xf>
    <xf numFmtId="0" fontId="4" fillId="0" borderId="0" xfId="0" applyFont="1" applyAlignment="1">
      <alignment horizontal="center"/>
    </xf>
    <xf numFmtId="0" fontId="8" fillId="4" borderId="0" xfId="2" applyFont="1" applyFill="1" applyAlignment="1">
      <alignment horizontal="center"/>
    </xf>
    <xf numFmtId="0" fontId="4" fillId="7" borderId="0" xfId="0" applyFont="1" applyFill="1" applyAlignment="1">
      <alignment horizontal="left" vertical="top" wrapText="1"/>
    </xf>
    <xf numFmtId="0" fontId="4" fillId="0" borderId="0" xfId="0" applyFont="1" applyAlignment="1">
      <alignment horizontal="left"/>
    </xf>
    <xf numFmtId="1" fontId="3" fillId="2" borderId="25" xfId="0" applyNumberFormat="1" applyFont="1" applyFill="1" applyBorder="1" applyAlignment="1">
      <alignment horizontal="center"/>
    </xf>
    <xf numFmtId="1" fontId="3" fillId="2" borderId="26" xfId="0" applyNumberFormat="1" applyFont="1" applyFill="1" applyBorder="1" applyAlignment="1">
      <alignment horizontal="center"/>
    </xf>
    <xf numFmtId="0" fontId="4" fillId="0" borderId="16" xfId="0" applyFont="1" applyBorder="1" applyAlignment="1">
      <alignment horizontal="left"/>
    </xf>
    <xf numFmtId="0" fontId="0" fillId="0" borderId="0" xfId="0" applyAlignment="1">
      <alignment horizontal="center"/>
    </xf>
    <xf numFmtId="0" fontId="2" fillId="0" borderId="0" xfId="0" applyFont="1" applyAlignment="1">
      <alignment horizontal="center"/>
    </xf>
    <xf numFmtId="0" fontId="0" fillId="0" borderId="0" xfId="0" applyAlignment="1">
      <alignment horizontal="left"/>
    </xf>
    <xf numFmtId="0" fontId="2" fillId="0" borderId="0" xfId="0" applyFont="1" applyAlignment="1">
      <alignment horizontal="left"/>
    </xf>
    <xf numFmtId="0" fontId="0" fillId="0" borderId="15" xfId="0" applyBorder="1" applyAlignment="1">
      <alignment horizontal="left"/>
    </xf>
    <xf numFmtId="0" fontId="5" fillId="0" borderId="0" xfId="3" applyFont="1" applyAlignment="1">
      <alignment horizontal="center"/>
    </xf>
    <xf numFmtId="0" fontId="3" fillId="0" borderId="0" xfId="3" applyFont="1" applyAlignment="1">
      <alignment horizontal="center"/>
    </xf>
    <xf numFmtId="0" fontId="12" fillId="0" borderId="0" xfId="3" applyAlignment="1">
      <alignment horizontal="center"/>
    </xf>
  </cellXfs>
  <cellStyles count="4">
    <cellStyle name="20% - Accent2" xfId="2" builtinId="34"/>
    <cellStyle name="Normal" xfId="0" builtinId="0"/>
    <cellStyle name="Normal 2" xfId="3" xr:uid="{70A2821B-6AE2-4CE2-A4FD-BE9C1D59B421}"/>
    <cellStyle name="Percent" xfId="1" builtinId="5"/>
  </cellStyles>
  <dxfs count="4">
    <dxf>
      <numFmt numFmtId="1" formatCode="0"/>
    </dxf>
    <dxf>
      <numFmt numFmtId="1" formatCode="0"/>
    </dxf>
    <dxf>
      <fill>
        <patternFill>
          <bgColor rgb="FFFF0000"/>
        </patternFill>
      </fill>
    </dxf>
    <dxf>
      <fill>
        <patternFill>
          <bgColor rgb="FF00B050"/>
        </patternFill>
      </fill>
    </dxf>
  </dxfs>
  <tableStyles count="0" defaultTableStyle="TableStyleMedium9" defaultPivotStyle="PivotStyleLight16"/>
  <colors>
    <mruColors>
      <color rgb="FFE5F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pivotCacheDefinition" Target="pivotCache/pivotCacheDefinition3.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Chat Daily</a:t>
            </a:r>
            <a:r>
              <a:rPr lang="en-US" baseline="0"/>
              <a:t> Volume</a:t>
            </a:r>
            <a:r>
              <a:rPr lang="en-US"/>
              <a:t>/ Aba</a:t>
            </a:r>
            <a:r>
              <a:rPr lang="en-US" baseline="0"/>
              <a:t> Dec 1st - Dec 30th </a:t>
            </a:r>
            <a:endParaRPr lang="en-US"/>
          </a:p>
        </c:rich>
      </c:tx>
      <c:layout>
        <c:manualLayout>
          <c:xMode val="edge"/>
          <c:yMode val="edge"/>
          <c:x val="0.27078226464284055"/>
          <c:y val="1.73320936369770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'Volume Summary'!$C$3</c:f>
              <c:strCache>
                <c:ptCount val="1"/>
                <c:pt idx="0">
                  <c:v>Sum of Total Chat Requests</c:v>
                </c:pt>
              </c:strCache>
            </c:strRef>
          </c:tx>
          <c:spPr>
            <a:ln w="28575" cap="rnd">
              <a:solidFill>
                <a:schemeClr val="accent1"/>
              </a:solidFill>
              <a:round/>
            </a:ln>
            <a:effectLst/>
          </c:spPr>
          <c:marker>
            <c:symbol val="none"/>
          </c:marker>
          <c:cat>
            <c:strRef>
              <c:f>'Volume Summary'!$B$4:$B$21</c:f>
              <c:strCache>
                <c:ptCount val="18"/>
                <c:pt idx="0">
                  <c:v>1-Dec</c:v>
                </c:pt>
                <c:pt idx="1">
                  <c:v>2-Dec</c:v>
                </c:pt>
                <c:pt idx="2">
                  <c:v>5-Dec</c:v>
                </c:pt>
                <c:pt idx="3">
                  <c:v>6-Dec</c:v>
                </c:pt>
                <c:pt idx="4">
                  <c:v>7-Dec</c:v>
                </c:pt>
                <c:pt idx="5">
                  <c:v>8-Dec</c:v>
                </c:pt>
                <c:pt idx="6">
                  <c:v>9-Dec</c:v>
                </c:pt>
                <c:pt idx="7">
                  <c:v>12-Dec</c:v>
                </c:pt>
                <c:pt idx="8">
                  <c:v>13-Dec</c:v>
                </c:pt>
                <c:pt idx="9">
                  <c:v>14-Dec</c:v>
                </c:pt>
                <c:pt idx="10">
                  <c:v>15-Dec</c:v>
                </c:pt>
                <c:pt idx="11">
                  <c:v>16-Dec</c:v>
                </c:pt>
                <c:pt idx="12">
                  <c:v>19-Dec</c:v>
                </c:pt>
                <c:pt idx="13">
                  <c:v>20-Dec</c:v>
                </c:pt>
                <c:pt idx="14">
                  <c:v>21-Dec</c:v>
                </c:pt>
                <c:pt idx="15">
                  <c:v>22-Dec</c:v>
                </c:pt>
                <c:pt idx="16">
                  <c:v>23-Dec</c:v>
                </c:pt>
                <c:pt idx="17">
                  <c:v>27-Dec</c:v>
                </c:pt>
              </c:strCache>
            </c:strRef>
          </c:cat>
          <c:val>
            <c:numRef>
              <c:f>'Volume Summary'!$C$4:$C$21</c:f>
              <c:numCache>
                <c:formatCode>General</c:formatCode>
                <c:ptCount val="18"/>
                <c:pt idx="0">
                  <c:v>297</c:v>
                </c:pt>
                <c:pt idx="1">
                  <c:v>269</c:v>
                </c:pt>
                <c:pt idx="2">
                  <c:v>370</c:v>
                </c:pt>
                <c:pt idx="3">
                  <c:v>280</c:v>
                </c:pt>
                <c:pt idx="4">
                  <c:v>257</c:v>
                </c:pt>
                <c:pt idx="5">
                  <c:v>242</c:v>
                </c:pt>
                <c:pt idx="6">
                  <c:v>272</c:v>
                </c:pt>
                <c:pt idx="7">
                  <c:v>304</c:v>
                </c:pt>
                <c:pt idx="8">
                  <c:v>208</c:v>
                </c:pt>
                <c:pt idx="9">
                  <c:v>267</c:v>
                </c:pt>
                <c:pt idx="10">
                  <c:v>284</c:v>
                </c:pt>
                <c:pt idx="11">
                  <c:v>262</c:v>
                </c:pt>
                <c:pt idx="12">
                  <c:v>256</c:v>
                </c:pt>
                <c:pt idx="13">
                  <c:v>288</c:v>
                </c:pt>
                <c:pt idx="14">
                  <c:v>234</c:v>
                </c:pt>
                <c:pt idx="15">
                  <c:v>235</c:v>
                </c:pt>
                <c:pt idx="16">
                  <c:v>210</c:v>
                </c:pt>
                <c:pt idx="17">
                  <c:v>310</c:v>
                </c:pt>
              </c:numCache>
            </c:numRef>
          </c:val>
          <c:smooth val="0"/>
          <c:extLst>
            <c:ext xmlns:c16="http://schemas.microsoft.com/office/drawing/2014/chart" uri="{C3380CC4-5D6E-409C-BE32-E72D297353CC}">
              <c16:uniqueId val="{00000000-AD51-4B89-BDA0-5528A1037B1C}"/>
            </c:ext>
          </c:extLst>
        </c:ser>
        <c:ser>
          <c:idx val="1"/>
          <c:order val="1"/>
          <c:tx>
            <c:strRef>
              <c:f>'Volume Summary'!$D$3</c:f>
              <c:strCache>
                <c:ptCount val="1"/>
                <c:pt idx="0">
                  <c:v>Sum of Abandoned</c:v>
                </c:pt>
              </c:strCache>
            </c:strRef>
          </c:tx>
          <c:spPr>
            <a:ln w="28575" cap="rnd">
              <a:solidFill>
                <a:schemeClr val="accent2"/>
              </a:solidFill>
              <a:round/>
            </a:ln>
            <a:effectLst/>
          </c:spPr>
          <c:marker>
            <c:symbol val="none"/>
          </c:marker>
          <c:cat>
            <c:strRef>
              <c:f>'Volume Summary'!$B$4:$B$21</c:f>
              <c:strCache>
                <c:ptCount val="18"/>
                <c:pt idx="0">
                  <c:v>1-Dec</c:v>
                </c:pt>
                <c:pt idx="1">
                  <c:v>2-Dec</c:v>
                </c:pt>
                <c:pt idx="2">
                  <c:v>5-Dec</c:v>
                </c:pt>
                <c:pt idx="3">
                  <c:v>6-Dec</c:v>
                </c:pt>
                <c:pt idx="4">
                  <c:v>7-Dec</c:v>
                </c:pt>
                <c:pt idx="5">
                  <c:v>8-Dec</c:v>
                </c:pt>
                <c:pt idx="6">
                  <c:v>9-Dec</c:v>
                </c:pt>
                <c:pt idx="7">
                  <c:v>12-Dec</c:v>
                </c:pt>
                <c:pt idx="8">
                  <c:v>13-Dec</c:v>
                </c:pt>
                <c:pt idx="9">
                  <c:v>14-Dec</c:v>
                </c:pt>
                <c:pt idx="10">
                  <c:v>15-Dec</c:v>
                </c:pt>
                <c:pt idx="11">
                  <c:v>16-Dec</c:v>
                </c:pt>
                <c:pt idx="12">
                  <c:v>19-Dec</c:v>
                </c:pt>
                <c:pt idx="13">
                  <c:v>20-Dec</c:v>
                </c:pt>
                <c:pt idx="14">
                  <c:v>21-Dec</c:v>
                </c:pt>
                <c:pt idx="15">
                  <c:v>22-Dec</c:v>
                </c:pt>
                <c:pt idx="16">
                  <c:v>23-Dec</c:v>
                </c:pt>
                <c:pt idx="17">
                  <c:v>27-Dec</c:v>
                </c:pt>
              </c:strCache>
            </c:strRef>
          </c:cat>
          <c:val>
            <c:numRef>
              <c:f>'Volume Summary'!$D$4:$D$21</c:f>
              <c:numCache>
                <c:formatCode>General</c:formatCode>
                <c:ptCount val="18"/>
                <c:pt idx="0">
                  <c:v>2</c:v>
                </c:pt>
                <c:pt idx="1">
                  <c:v>5</c:v>
                </c:pt>
                <c:pt idx="2">
                  <c:v>17</c:v>
                </c:pt>
                <c:pt idx="3">
                  <c:v>2</c:v>
                </c:pt>
                <c:pt idx="4">
                  <c:v>1</c:v>
                </c:pt>
                <c:pt idx="5">
                  <c:v>1</c:v>
                </c:pt>
                <c:pt idx="6">
                  <c:v>0</c:v>
                </c:pt>
                <c:pt idx="7">
                  <c:v>3</c:v>
                </c:pt>
                <c:pt idx="8">
                  <c:v>0</c:v>
                </c:pt>
                <c:pt idx="9">
                  <c:v>0</c:v>
                </c:pt>
                <c:pt idx="10">
                  <c:v>23</c:v>
                </c:pt>
                <c:pt idx="11">
                  <c:v>2</c:v>
                </c:pt>
                <c:pt idx="12">
                  <c:v>1</c:v>
                </c:pt>
                <c:pt idx="13">
                  <c:v>3</c:v>
                </c:pt>
                <c:pt idx="14">
                  <c:v>1</c:v>
                </c:pt>
                <c:pt idx="15">
                  <c:v>0</c:v>
                </c:pt>
                <c:pt idx="16">
                  <c:v>0</c:v>
                </c:pt>
                <c:pt idx="17">
                  <c:v>6</c:v>
                </c:pt>
              </c:numCache>
            </c:numRef>
          </c:val>
          <c:smooth val="0"/>
          <c:extLst>
            <c:ext xmlns:c16="http://schemas.microsoft.com/office/drawing/2014/chart" uri="{C3380CC4-5D6E-409C-BE32-E72D297353CC}">
              <c16:uniqueId val="{00000001-AD51-4B89-BDA0-5528A1037B1C}"/>
            </c:ext>
          </c:extLst>
        </c:ser>
        <c:dLbls>
          <c:showLegendKey val="0"/>
          <c:showVal val="0"/>
          <c:showCatName val="0"/>
          <c:showSerName val="0"/>
          <c:showPercent val="0"/>
          <c:showBubbleSize val="0"/>
        </c:dLbls>
        <c:smooth val="0"/>
        <c:axId val="248859232"/>
        <c:axId val="248859648"/>
      </c:lineChart>
      <c:catAx>
        <c:axId val="248859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859648"/>
        <c:crossesAt val="1.5"/>
        <c:auto val="1"/>
        <c:lblAlgn val="ctr"/>
        <c:lblOffset val="100"/>
        <c:noMultiLvlLbl val="1"/>
      </c:catAx>
      <c:valAx>
        <c:axId val="24885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859232"/>
        <c:crosses val="autoZero"/>
        <c:crossBetween val="between"/>
        <c:majorUnit val="3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0" i="0" baseline="0">
                <a:effectLst/>
              </a:rPr>
              <a:t>Weekly Chat Volume Dec 1st - Dec 30th</a:t>
            </a: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lineChart>
        <c:grouping val="standard"/>
        <c:varyColors val="0"/>
        <c:ser>
          <c:idx val="0"/>
          <c:order val="0"/>
          <c:tx>
            <c:strRef>
              <c:f>'Volume Summary'!$J$27</c:f>
              <c:strCache>
                <c:ptCount val="1"/>
                <c:pt idx="0">
                  <c:v>Chats</c:v>
                </c:pt>
              </c:strCache>
            </c:strRef>
          </c:tx>
          <c:spPr>
            <a:ln w="28575" cap="rnd">
              <a:solidFill>
                <a:schemeClr val="accent1"/>
              </a:solidFill>
              <a:round/>
            </a:ln>
            <a:effectLst/>
          </c:spPr>
          <c:marker>
            <c:symbol val="none"/>
          </c:marker>
          <c:cat>
            <c:numRef>
              <c:f>'Volume Summary'!$I$28:$I$31</c:f>
              <c:numCache>
                <c:formatCode>m/d/yyyy</c:formatCode>
                <c:ptCount val="4"/>
                <c:pt idx="0">
                  <c:v>44900</c:v>
                </c:pt>
                <c:pt idx="1">
                  <c:v>44904</c:v>
                </c:pt>
                <c:pt idx="2">
                  <c:v>44911</c:v>
                </c:pt>
                <c:pt idx="3">
                  <c:v>44918</c:v>
                </c:pt>
              </c:numCache>
            </c:numRef>
          </c:cat>
          <c:val>
            <c:numRef>
              <c:f>'Volume Summary'!$J$28:$J$31</c:f>
              <c:numCache>
                <c:formatCode>General</c:formatCode>
                <c:ptCount val="4"/>
                <c:pt idx="0">
                  <c:v>936</c:v>
                </c:pt>
                <c:pt idx="1">
                  <c:v>1421</c:v>
                </c:pt>
                <c:pt idx="2">
                  <c:v>1325</c:v>
                </c:pt>
                <c:pt idx="3">
                  <c:v>1223</c:v>
                </c:pt>
              </c:numCache>
            </c:numRef>
          </c:val>
          <c:smooth val="0"/>
          <c:extLst>
            <c:ext xmlns:c16="http://schemas.microsoft.com/office/drawing/2014/chart" uri="{C3380CC4-5D6E-409C-BE32-E72D297353CC}">
              <c16:uniqueId val="{00000000-6959-43C4-9BC8-AC43181A6898}"/>
            </c:ext>
          </c:extLst>
        </c:ser>
        <c:dLbls>
          <c:showLegendKey val="0"/>
          <c:showVal val="0"/>
          <c:showCatName val="0"/>
          <c:showSerName val="0"/>
          <c:showPercent val="0"/>
          <c:showBubbleSize val="0"/>
        </c:dLbls>
        <c:smooth val="0"/>
        <c:axId val="244640848"/>
        <c:axId val="244639184"/>
      </c:lineChart>
      <c:dateAx>
        <c:axId val="2446408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639184"/>
        <c:crosses val="autoZero"/>
        <c:auto val="1"/>
        <c:lblOffset val="100"/>
        <c:baseTimeUnit val="days"/>
      </c:dateAx>
      <c:valAx>
        <c:axId val="244639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6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Volume by Day/Interval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4468456385393942E-2"/>
          <c:y val="7.8088495575221253E-2"/>
          <c:w val="0.93838580681553474"/>
          <c:h val="0.80374422223770703"/>
        </c:manualLayout>
      </c:layout>
      <c:lineChart>
        <c:grouping val="standard"/>
        <c:varyColors val="0"/>
        <c:ser>
          <c:idx val="0"/>
          <c:order val="0"/>
          <c:tx>
            <c:strRef>
              <c:f>Dist!$D$4</c:f>
              <c:strCache>
                <c:ptCount val="1"/>
                <c:pt idx="0">
                  <c:v>Mon</c:v>
                </c:pt>
              </c:strCache>
            </c:strRef>
          </c:tx>
          <c:spPr>
            <a:ln w="28575" cap="rnd">
              <a:solidFill>
                <a:schemeClr val="accent1"/>
              </a:solidFill>
              <a:round/>
            </a:ln>
            <a:effectLst/>
          </c:spPr>
          <c:marker>
            <c:symbol val="none"/>
          </c:marker>
          <c:cat>
            <c:numRef>
              <c:f>Dist!$C$5:$C$30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Dist!$D$5:$D$30</c:f>
              <c:numCache>
                <c:formatCode>General</c:formatCode>
                <c:ptCount val="10"/>
                <c:pt idx="0">
                  <c:v>54</c:v>
                </c:pt>
                <c:pt idx="1">
                  <c:v>91</c:v>
                </c:pt>
                <c:pt idx="2">
                  <c:v>113</c:v>
                </c:pt>
                <c:pt idx="3">
                  <c:v>124</c:v>
                </c:pt>
                <c:pt idx="4">
                  <c:v>138</c:v>
                </c:pt>
                <c:pt idx="5">
                  <c:v>127</c:v>
                </c:pt>
                <c:pt idx="6">
                  <c:v>116</c:v>
                </c:pt>
                <c:pt idx="7">
                  <c:v>95</c:v>
                </c:pt>
                <c:pt idx="8">
                  <c:v>70</c:v>
                </c:pt>
                <c:pt idx="9">
                  <c:v>2</c:v>
                </c:pt>
              </c:numCache>
            </c:numRef>
          </c:val>
          <c:smooth val="0"/>
          <c:extLst>
            <c:ext xmlns:c16="http://schemas.microsoft.com/office/drawing/2014/chart" uri="{C3380CC4-5D6E-409C-BE32-E72D297353CC}">
              <c16:uniqueId val="{00000000-3143-4A0A-BE66-F816DC71FC9C}"/>
            </c:ext>
          </c:extLst>
        </c:ser>
        <c:ser>
          <c:idx val="1"/>
          <c:order val="1"/>
          <c:tx>
            <c:strRef>
              <c:f>Dist!$E$4</c:f>
              <c:strCache>
                <c:ptCount val="1"/>
                <c:pt idx="0">
                  <c:v>Tue</c:v>
                </c:pt>
              </c:strCache>
            </c:strRef>
          </c:tx>
          <c:spPr>
            <a:ln w="28575" cap="rnd">
              <a:solidFill>
                <a:schemeClr val="accent2"/>
              </a:solidFill>
              <a:round/>
            </a:ln>
            <a:effectLst/>
          </c:spPr>
          <c:marker>
            <c:symbol val="none"/>
          </c:marker>
          <c:cat>
            <c:numRef>
              <c:f>Dist!$C$5:$C$30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Dist!$E$5:$E$30</c:f>
              <c:numCache>
                <c:formatCode>General</c:formatCode>
                <c:ptCount val="10"/>
                <c:pt idx="0">
                  <c:v>49</c:v>
                </c:pt>
                <c:pt idx="1">
                  <c:v>101</c:v>
                </c:pt>
                <c:pt idx="2">
                  <c:v>159</c:v>
                </c:pt>
                <c:pt idx="3">
                  <c:v>142</c:v>
                </c:pt>
                <c:pt idx="4">
                  <c:v>152</c:v>
                </c:pt>
                <c:pt idx="5">
                  <c:v>122</c:v>
                </c:pt>
                <c:pt idx="6">
                  <c:v>136</c:v>
                </c:pt>
                <c:pt idx="7">
                  <c:v>124</c:v>
                </c:pt>
                <c:pt idx="8">
                  <c:v>101</c:v>
                </c:pt>
              </c:numCache>
            </c:numRef>
          </c:val>
          <c:smooth val="0"/>
          <c:extLst>
            <c:ext xmlns:c16="http://schemas.microsoft.com/office/drawing/2014/chart" uri="{C3380CC4-5D6E-409C-BE32-E72D297353CC}">
              <c16:uniqueId val="{00000001-3143-4A0A-BE66-F816DC71FC9C}"/>
            </c:ext>
          </c:extLst>
        </c:ser>
        <c:ser>
          <c:idx val="2"/>
          <c:order val="2"/>
          <c:tx>
            <c:strRef>
              <c:f>Dist!$F$4</c:f>
              <c:strCache>
                <c:ptCount val="1"/>
                <c:pt idx="0">
                  <c:v>Wed</c:v>
                </c:pt>
              </c:strCache>
            </c:strRef>
          </c:tx>
          <c:spPr>
            <a:ln w="28575" cap="rnd">
              <a:solidFill>
                <a:schemeClr val="accent3"/>
              </a:solidFill>
              <a:round/>
            </a:ln>
            <a:effectLst/>
          </c:spPr>
          <c:marker>
            <c:symbol val="none"/>
          </c:marker>
          <c:cat>
            <c:numRef>
              <c:f>Dist!$C$5:$C$30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Dist!$F$5:$F$30</c:f>
              <c:numCache>
                <c:formatCode>General</c:formatCode>
                <c:ptCount val="10"/>
                <c:pt idx="0">
                  <c:v>49</c:v>
                </c:pt>
                <c:pt idx="1">
                  <c:v>92</c:v>
                </c:pt>
                <c:pt idx="2">
                  <c:v>121</c:v>
                </c:pt>
                <c:pt idx="3">
                  <c:v>134</c:v>
                </c:pt>
                <c:pt idx="4">
                  <c:v>140</c:v>
                </c:pt>
                <c:pt idx="5">
                  <c:v>144</c:v>
                </c:pt>
                <c:pt idx="6">
                  <c:v>129</c:v>
                </c:pt>
                <c:pt idx="7">
                  <c:v>130</c:v>
                </c:pt>
                <c:pt idx="8">
                  <c:v>88</c:v>
                </c:pt>
                <c:pt idx="9">
                  <c:v>1</c:v>
                </c:pt>
              </c:numCache>
            </c:numRef>
          </c:val>
          <c:smooth val="0"/>
          <c:extLst>
            <c:ext xmlns:c16="http://schemas.microsoft.com/office/drawing/2014/chart" uri="{C3380CC4-5D6E-409C-BE32-E72D297353CC}">
              <c16:uniqueId val="{00000002-3143-4A0A-BE66-F816DC71FC9C}"/>
            </c:ext>
          </c:extLst>
        </c:ser>
        <c:ser>
          <c:idx val="3"/>
          <c:order val="3"/>
          <c:tx>
            <c:strRef>
              <c:f>Dist!$G$4</c:f>
              <c:strCache>
                <c:ptCount val="1"/>
                <c:pt idx="0">
                  <c:v>Thu</c:v>
                </c:pt>
              </c:strCache>
            </c:strRef>
          </c:tx>
          <c:spPr>
            <a:ln w="28575" cap="rnd">
              <a:solidFill>
                <a:schemeClr val="accent4"/>
              </a:solidFill>
              <a:round/>
            </a:ln>
            <a:effectLst/>
          </c:spPr>
          <c:marker>
            <c:symbol val="none"/>
          </c:marker>
          <c:cat>
            <c:numRef>
              <c:f>Dist!$C$5:$C$30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Dist!$G$5:$G$30</c:f>
              <c:numCache>
                <c:formatCode>General</c:formatCode>
                <c:ptCount val="10"/>
                <c:pt idx="0">
                  <c:v>87</c:v>
                </c:pt>
                <c:pt idx="1">
                  <c:v>143</c:v>
                </c:pt>
                <c:pt idx="2">
                  <c:v>158</c:v>
                </c:pt>
                <c:pt idx="3">
                  <c:v>172</c:v>
                </c:pt>
                <c:pt idx="4">
                  <c:v>184</c:v>
                </c:pt>
                <c:pt idx="5">
                  <c:v>177</c:v>
                </c:pt>
                <c:pt idx="6">
                  <c:v>167</c:v>
                </c:pt>
                <c:pt idx="7">
                  <c:v>143</c:v>
                </c:pt>
                <c:pt idx="8">
                  <c:v>132</c:v>
                </c:pt>
              </c:numCache>
            </c:numRef>
          </c:val>
          <c:smooth val="0"/>
          <c:extLst>
            <c:ext xmlns:c16="http://schemas.microsoft.com/office/drawing/2014/chart" uri="{C3380CC4-5D6E-409C-BE32-E72D297353CC}">
              <c16:uniqueId val="{00000003-3143-4A0A-BE66-F816DC71FC9C}"/>
            </c:ext>
          </c:extLst>
        </c:ser>
        <c:ser>
          <c:idx val="4"/>
          <c:order val="4"/>
          <c:tx>
            <c:strRef>
              <c:f>Dist!$H$4</c:f>
              <c:strCache>
                <c:ptCount val="1"/>
                <c:pt idx="0">
                  <c:v>Fri</c:v>
                </c:pt>
              </c:strCache>
            </c:strRef>
          </c:tx>
          <c:spPr>
            <a:ln w="28575" cap="rnd">
              <a:solidFill>
                <a:schemeClr val="accent5"/>
              </a:solidFill>
              <a:round/>
            </a:ln>
            <a:effectLst/>
          </c:spPr>
          <c:marker>
            <c:symbol val="none"/>
          </c:marker>
          <c:cat>
            <c:numRef>
              <c:f>Dist!$C$5:$C$30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Dist!$H$5:$H$30</c:f>
              <c:numCache>
                <c:formatCode>General</c:formatCode>
                <c:ptCount val="10"/>
                <c:pt idx="0">
                  <c:v>79</c:v>
                </c:pt>
                <c:pt idx="1">
                  <c:v>122</c:v>
                </c:pt>
                <c:pt idx="2">
                  <c:v>165</c:v>
                </c:pt>
                <c:pt idx="3">
                  <c:v>164</c:v>
                </c:pt>
                <c:pt idx="4">
                  <c:v>183</c:v>
                </c:pt>
                <c:pt idx="5">
                  <c:v>152</c:v>
                </c:pt>
                <c:pt idx="6">
                  <c:v>126</c:v>
                </c:pt>
                <c:pt idx="7">
                  <c:v>135</c:v>
                </c:pt>
                <c:pt idx="8">
                  <c:v>109</c:v>
                </c:pt>
              </c:numCache>
            </c:numRef>
          </c:val>
          <c:smooth val="0"/>
          <c:extLst>
            <c:ext xmlns:c16="http://schemas.microsoft.com/office/drawing/2014/chart" uri="{C3380CC4-5D6E-409C-BE32-E72D297353CC}">
              <c16:uniqueId val="{00000004-3143-4A0A-BE66-F816DC71FC9C}"/>
            </c:ext>
          </c:extLst>
        </c:ser>
        <c:ser>
          <c:idx val="5"/>
          <c:order val="5"/>
          <c:tx>
            <c:strRef>
              <c:f>Dist!$I$4</c:f>
              <c:strCache>
                <c:ptCount val="1"/>
                <c:pt idx="0">
                  <c:v>Sat</c:v>
                </c:pt>
              </c:strCache>
            </c:strRef>
          </c:tx>
          <c:spPr>
            <a:ln w="28575" cap="rnd">
              <a:solidFill>
                <a:schemeClr val="accent6"/>
              </a:solidFill>
              <a:round/>
            </a:ln>
            <a:effectLst/>
          </c:spPr>
          <c:marker>
            <c:symbol val="none"/>
          </c:marker>
          <c:cat>
            <c:numRef>
              <c:f>Dist!$C$5:$C$30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Dist!$I$5:$I$30</c:f>
              <c:numCache>
                <c:formatCode>0</c:formatCode>
                <c:ptCount val="10"/>
              </c:numCache>
            </c:numRef>
          </c:val>
          <c:smooth val="0"/>
          <c:extLst>
            <c:ext xmlns:c16="http://schemas.microsoft.com/office/drawing/2014/chart" uri="{C3380CC4-5D6E-409C-BE32-E72D297353CC}">
              <c16:uniqueId val="{00000005-3143-4A0A-BE66-F816DC71FC9C}"/>
            </c:ext>
          </c:extLst>
        </c:ser>
        <c:dLbls>
          <c:showLegendKey val="0"/>
          <c:showVal val="0"/>
          <c:showCatName val="0"/>
          <c:showSerName val="0"/>
          <c:showPercent val="0"/>
          <c:showBubbleSize val="0"/>
        </c:dLbls>
        <c:smooth val="0"/>
        <c:axId val="1309102159"/>
        <c:axId val="1309106319"/>
      </c:lineChart>
      <c:catAx>
        <c:axId val="1309102159"/>
        <c:scaling>
          <c:orientation val="minMax"/>
        </c:scaling>
        <c:delete val="0"/>
        <c:axPos val="b"/>
        <c:numFmt formatCode="h:mm\ AM/P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9106319"/>
        <c:crosses val="autoZero"/>
        <c:auto val="1"/>
        <c:lblAlgn val="ctr"/>
        <c:lblOffset val="100"/>
        <c:noMultiLvlLbl val="0"/>
      </c:catAx>
      <c:valAx>
        <c:axId val="1309106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91021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 % by Day/Interval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Dist!$M$4</c:f>
              <c:strCache>
                <c:ptCount val="1"/>
                <c:pt idx="0">
                  <c:v>Mon</c:v>
                </c:pt>
              </c:strCache>
            </c:strRef>
          </c:tx>
          <c:spPr>
            <a:ln w="28575" cap="rnd">
              <a:solidFill>
                <a:schemeClr val="accent1"/>
              </a:solidFill>
              <a:round/>
            </a:ln>
            <a:effectLst/>
          </c:spPr>
          <c:marker>
            <c:symbol val="none"/>
          </c:marker>
          <c:cat>
            <c:numRef>
              <c:f>Dist!$L$5:$L$30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Dist!$M$5:$M$30</c:f>
              <c:numCache>
                <c:formatCode>0%</c:formatCode>
                <c:ptCount val="10"/>
                <c:pt idx="0">
                  <c:v>5.8064516129032261E-2</c:v>
                </c:pt>
                <c:pt idx="1">
                  <c:v>9.7849462365591403E-2</c:v>
                </c:pt>
                <c:pt idx="2">
                  <c:v>0.12150537634408602</c:v>
                </c:pt>
                <c:pt idx="3">
                  <c:v>0.13333333333333333</c:v>
                </c:pt>
                <c:pt idx="4">
                  <c:v>0.14838709677419354</c:v>
                </c:pt>
                <c:pt idx="5">
                  <c:v>0.13655913978494624</c:v>
                </c:pt>
                <c:pt idx="6">
                  <c:v>0.12473118279569892</c:v>
                </c:pt>
                <c:pt idx="7">
                  <c:v>0.10215053763440861</c:v>
                </c:pt>
                <c:pt idx="8">
                  <c:v>7.5268817204301078E-2</c:v>
                </c:pt>
                <c:pt idx="9">
                  <c:v>2.1505376344086021E-3</c:v>
                </c:pt>
              </c:numCache>
            </c:numRef>
          </c:val>
          <c:smooth val="0"/>
          <c:extLst>
            <c:ext xmlns:c16="http://schemas.microsoft.com/office/drawing/2014/chart" uri="{C3380CC4-5D6E-409C-BE32-E72D297353CC}">
              <c16:uniqueId val="{00000000-BA24-46D2-925E-891945119CDC}"/>
            </c:ext>
          </c:extLst>
        </c:ser>
        <c:ser>
          <c:idx val="1"/>
          <c:order val="1"/>
          <c:tx>
            <c:strRef>
              <c:f>Dist!$N$4</c:f>
              <c:strCache>
                <c:ptCount val="1"/>
                <c:pt idx="0">
                  <c:v>Tue</c:v>
                </c:pt>
              </c:strCache>
            </c:strRef>
          </c:tx>
          <c:spPr>
            <a:ln w="28575" cap="rnd">
              <a:solidFill>
                <a:schemeClr val="accent2"/>
              </a:solidFill>
              <a:round/>
            </a:ln>
            <a:effectLst/>
          </c:spPr>
          <c:marker>
            <c:symbol val="none"/>
          </c:marker>
          <c:cat>
            <c:numRef>
              <c:f>Dist!$L$5:$L$30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Dist!$N$5:$N$30</c:f>
              <c:numCache>
                <c:formatCode>0%</c:formatCode>
                <c:ptCount val="10"/>
                <c:pt idx="0">
                  <c:v>4.5119705340699819E-2</c:v>
                </c:pt>
                <c:pt idx="1">
                  <c:v>9.3001841620626149E-2</c:v>
                </c:pt>
                <c:pt idx="2">
                  <c:v>0.14640883977900551</c:v>
                </c:pt>
                <c:pt idx="3">
                  <c:v>0.13075506445672191</c:v>
                </c:pt>
                <c:pt idx="4">
                  <c:v>0.13996316758747698</c:v>
                </c:pt>
                <c:pt idx="5">
                  <c:v>0.11233885819521179</c:v>
                </c:pt>
                <c:pt idx="6">
                  <c:v>0.12523020257826889</c:v>
                </c:pt>
                <c:pt idx="7">
                  <c:v>0.1141804788213628</c:v>
                </c:pt>
                <c:pt idx="8">
                  <c:v>9.3001841620626149E-2</c:v>
                </c:pt>
                <c:pt idx="9">
                  <c:v>0</c:v>
                </c:pt>
              </c:numCache>
            </c:numRef>
          </c:val>
          <c:smooth val="0"/>
          <c:extLst>
            <c:ext xmlns:c16="http://schemas.microsoft.com/office/drawing/2014/chart" uri="{C3380CC4-5D6E-409C-BE32-E72D297353CC}">
              <c16:uniqueId val="{00000001-BA24-46D2-925E-891945119CDC}"/>
            </c:ext>
          </c:extLst>
        </c:ser>
        <c:ser>
          <c:idx val="2"/>
          <c:order val="2"/>
          <c:tx>
            <c:strRef>
              <c:f>Dist!$O$4</c:f>
              <c:strCache>
                <c:ptCount val="1"/>
                <c:pt idx="0">
                  <c:v>Wed</c:v>
                </c:pt>
              </c:strCache>
            </c:strRef>
          </c:tx>
          <c:spPr>
            <a:ln w="28575" cap="rnd">
              <a:solidFill>
                <a:schemeClr val="accent3"/>
              </a:solidFill>
              <a:round/>
            </a:ln>
            <a:effectLst/>
          </c:spPr>
          <c:marker>
            <c:symbol val="none"/>
          </c:marker>
          <c:cat>
            <c:numRef>
              <c:f>Dist!$L$5:$L$30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Dist!$O$5:$O$30</c:f>
              <c:numCache>
                <c:formatCode>0%</c:formatCode>
                <c:ptCount val="10"/>
                <c:pt idx="0">
                  <c:v>4.7665369649805445E-2</c:v>
                </c:pt>
                <c:pt idx="1">
                  <c:v>8.9494163424124515E-2</c:v>
                </c:pt>
                <c:pt idx="2">
                  <c:v>0.11770428015564202</c:v>
                </c:pt>
                <c:pt idx="3">
                  <c:v>0.13035019455252919</c:v>
                </c:pt>
                <c:pt idx="4">
                  <c:v>0.13618677042801555</c:v>
                </c:pt>
                <c:pt idx="5">
                  <c:v>0.14007782101167315</c:v>
                </c:pt>
                <c:pt idx="6">
                  <c:v>0.1254863813229572</c:v>
                </c:pt>
                <c:pt idx="7">
                  <c:v>0.12645914396887159</c:v>
                </c:pt>
                <c:pt idx="8">
                  <c:v>8.5603112840466927E-2</c:v>
                </c:pt>
                <c:pt idx="9">
                  <c:v>9.727626459143969E-4</c:v>
                </c:pt>
              </c:numCache>
            </c:numRef>
          </c:val>
          <c:smooth val="0"/>
          <c:extLst>
            <c:ext xmlns:c16="http://schemas.microsoft.com/office/drawing/2014/chart" uri="{C3380CC4-5D6E-409C-BE32-E72D297353CC}">
              <c16:uniqueId val="{00000002-BA24-46D2-925E-891945119CDC}"/>
            </c:ext>
          </c:extLst>
        </c:ser>
        <c:ser>
          <c:idx val="3"/>
          <c:order val="3"/>
          <c:tx>
            <c:strRef>
              <c:f>Dist!$P$4</c:f>
              <c:strCache>
                <c:ptCount val="1"/>
                <c:pt idx="0">
                  <c:v>Thu</c:v>
                </c:pt>
              </c:strCache>
            </c:strRef>
          </c:tx>
          <c:spPr>
            <a:ln w="28575" cap="rnd">
              <a:solidFill>
                <a:schemeClr val="accent4"/>
              </a:solidFill>
              <a:round/>
            </a:ln>
            <a:effectLst/>
          </c:spPr>
          <c:marker>
            <c:symbol val="none"/>
          </c:marker>
          <c:cat>
            <c:numRef>
              <c:f>Dist!$L$5:$L$30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Dist!$P$5:$P$30</c:f>
              <c:numCache>
                <c:formatCode>0%</c:formatCode>
                <c:ptCount val="10"/>
                <c:pt idx="0">
                  <c:v>6.3829787234042548E-2</c:v>
                </c:pt>
                <c:pt idx="1">
                  <c:v>0.10491562729273661</c:v>
                </c:pt>
                <c:pt idx="2">
                  <c:v>0.11592076302274394</c:v>
                </c:pt>
                <c:pt idx="3">
                  <c:v>0.12619222303741745</c:v>
                </c:pt>
                <c:pt idx="4">
                  <c:v>0.13499633162142333</c:v>
                </c:pt>
                <c:pt idx="5">
                  <c:v>0.12986060161408658</c:v>
                </c:pt>
                <c:pt idx="6">
                  <c:v>0.12252384446074835</c:v>
                </c:pt>
                <c:pt idx="7">
                  <c:v>0.10491562729273661</c:v>
                </c:pt>
                <c:pt idx="8">
                  <c:v>9.6845194424064557E-2</c:v>
                </c:pt>
                <c:pt idx="9">
                  <c:v>0</c:v>
                </c:pt>
              </c:numCache>
            </c:numRef>
          </c:val>
          <c:smooth val="0"/>
          <c:extLst>
            <c:ext xmlns:c16="http://schemas.microsoft.com/office/drawing/2014/chart" uri="{C3380CC4-5D6E-409C-BE32-E72D297353CC}">
              <c16:uniqueId val="{00000003-BA24-46D2-925E-891945119CDC}"/>
            </c:ext>
          </c:extLst>
        </c:ser>
        <c:ser>
          <c:idx val="4"/>
          <c:order val="4"/>
          <c:tx>
            <c:strRef>
              <c:f>Dist!$Q$4</c:f>
              <c:strCache>
                <c:ptCount val="1"/>
                <c:pt idx="0">
                  <c:v>Fri</c:v>
                </c:pt>
              </c:strCache>
            </c:strRef>
          </c:tx>
          <c:spPr>
            <a:ln w="28575" cap="rnd">
              <a:solidFill>
                <a:schemeClr val="accent5"/>
              </a:solidFill>
              <a:round/>
            </a:ln>
            <a:effectLst/>
          </c:spPr>
          <c:marker>
            <c:symbol val="none"/>
          </c:marker>
          <c:cat>
            <c:numRef>
              <c:f>Dist!$L$5:$L$30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Dist!$Q$5:$Q$30</c:f>
              <c:numCache>
                <c:formatCode>0%</c:formatCode>
                <c:ptCount val="10"/>
                <c:pt idx="0">
                  <c:v>6.396761133603239E-2</c:v>
                </c:pt>
                <c:pt idx="1">
                  <c:v>9.8785425101214575E-2</c:v>
                </c:pt>
                <c:pt idx="2">
                  <c:v>0.13360323886639677</c:v>
                </c:pt>
                <c:pt idx="3">
                  <c:v>0.13279352226720648</c:v>
                </c:pt>
                <c:pt idx="4">
                  <c:v>0.14817813765182186</c:v>
                </c:pt>
                <c:pt idx="5">
                  <c:v>0.12307692307692308</c:v>
                </c:pt>
                <c:pt idx="6">
                  <c:v>0.10202429149797571</c:v>
                </c:pt>
                <c:pt idx="7">
                  <c:v>0.10931174089068826</c:v>
                </c:pt>
                <c:pt idx="8">
                  <c:v>8.8259109311740885E-2</c:v>
                </c:pt>
                <c:pt idx="9">
                  <c:v>0</c:v>
                </c:pt>
              </c:numCache>
            </c:numRef>
          </c:val>
          <c:smooth val="0"/>
          <c:extLst>
            <c:ext xmlns:c16="http://schemas.microsoft.com/office/drawing/2014/chart" uri="{C3380CC4-5D6E-409C-BE32-E72D297353CC}">
              <c16:uniqueId val="{00000004-BA24-46D2-925E-891945119CDC}"/>
            </c:ext>
          </c:extLst>
        </c:ser>
        <c:ser>
          <c:idx val="5"/>
          <c:order val="5"/>
          <c:tx>
            <c:strRef>
              <c:f>Dist!$R$4</c:f>
              <c:strCache>
                <c:ptCount val="1"/>
                <c:pt idx="0">
                  <c:v>Sat</c:v>
                </c:pt>
              </c:strCache>
            </c:strRef>
          </c:tx>
          <c:spPr>
            <a:ln w="28575" cap="rnd">
              <a:solidFill>
                <a:schemeClr val="accent6"/>
              </a:solidFill>
              <a:round/>
            </a:ln>
            <a:effectLst/>
          </c:spPr>
          <c:marker>
            <c:symbol val="none"/>
          </c:marker>
          <c:cat>
            <c:numRef>
              <c:f>Dist!$L$5:$L$30</c:f>
              <c:numCache>
                <c:formatCode>h:mm\ AM/PM</c:formatCode>
                <c:ptCount val="10"/>
                <c:pt idx="0">
                  <c:v>0.33333333333333331</c:v>
                </c:pt>
                <c:pt idx="1">
                  <c:v>0.375</c:v>
                </c:pt>
                <c:pt idx="2">
                  <c:v>0.41666666666666669</c:v>
                </c:pt>
                <c:pt idx="3">
                  <c:v>0.45833333333333331</c:v>
                </c:pt>
                <c:pt idx="4">
                  <c:v>0.5</c:v>
                </c:pt>
                <c:pt idx="5">
                  <c:v>0.54166666666666663</c:v>
                </c:pt>
                <c:pt idx="6">
                  <c:v>0.58333333333333337</c:v>
                </c:pt>
                <c:pt idx="7">
                  <c:v>0.625</c:v>
                </c:pt>
                <c:pt idx="8">
                  <c:v>0.66666666666666663</c:v>
                </c:pt>
                <c:pt idx="9">
                  <c:v>0.70833333333333337</c:v>
                </c:pt>
              </c:numCache>
            </c:numRef>
          </c:cat>
          <c:val>
            <c:numRef>
              <c:f>Dist!$R$5:$R$30</c:f>
              <c:numCache>
                <c:formatCode>0%</c:formatCode>
                <c:ptCount val="10"/>
                <c:pt idx="1">
                  <c:v>0</c:v>
                </c:pt>
                <c:pt idx="2">
                  <c:v>0</c:v>
                </c:pt>
                <c:pt idx="3">
                  <c:v>0</c:v>
                </c:pt>
                <c:pt idx="4">
                  <c:v>0</c:v>
                </c:pt>
                <c:pt idx="5">
                  <c:v>0</c:v>
                </c:pt>
                <c:pt idx="6">
                  <c:v>0</c:v>
                </c:pt>
              </c:numCache>
            </c:numRef>
          </c:val>
          <c:smooth val="0"/>
          <c:extLst>
            <c:ext xmlns:c16="http://schemas.microsoft.com/office/drawing/2014/chart" uri="{C3380CC4-5D6E-409C-BE32-E72D297353CC}">
              <c16:uniqueId val="{00000005-BA24-46D2-925E-891945119CDC}"/>
            </c:ext>
          </c:extLst>
        </c:ser>
        <c:dLbls>
          <c:showLegendKey val="0"/>
          <c:showVal val="0"/>
          <c:showCatName val="0"/>
          <c:showSerName val="0"/>
          <c:showPercent val="0"/>
          <c:showBubbleSize val="0"/>
        </c:dLbls>
        <c:smooth val="0"/>
        <c:axId val="1309117135"/>
        <c:axId val="1309092175"/>
      </c:lineChart>
      <c:catAx>
        <c:axId val="1309117135"/>
        <c:scaling>
          <c:orientation val="minMax"/>
        </c:scaling>
        <c:delete val="0"/>
        <c:axPos val="b"/>
        <c:numFmt formatCode="h:mm\ AM/P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9092175"/>
        <c:crosses val="autoZero"/>
        <c:auto val="1"/>
        <c:lblAlgn val="ctr"/>
        <c:lblOffset val="100"/>
        <c:noMultiLvlLbl val="0"/>
      </c:catAx>
      <c:valAx>
        <c:axId val="13090921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91171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 Dist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Dist!$AC$37:$AC$42</c:f>
              <c:strCache>
                <c:ptCount val="6"/>
                <c:pt idx="0">
                  <c:v>Mon</c:v>
                </c:pt>
                <c:pt idx="1">
                  <c:v>Tue</c:v>
                </c:pt>
                <c:pt idx="2">
                  <c:v>Wed</c:v>
                </c:pt>
                <c:pt idx="3">
                  <c:v>Thu</c:v>
                </c:pt>
                <c:pt idx="4">
                  <c:v>Fri</c:v>
                </c:pt>
                <c:pt idx="5">
                  <c:v>Sat</c:v>
                </c:pt>
              </c:strCache>
            </c:strRef>
          </c:cat>
          <c:val>
            <c:numRef>
              <c:f>Dist!$AD$37:$AD$42</c:f>
              <c:numCache>
                <c:formatCode>0%</c:formatCode>
                <c:ptCount val="6"/>
                <c:pt idx="0">
                  <c:v>0.16483516483516483</c:v>
                </c:pt>
                <c:pt idx="1">
                  <c:v>0.19248493442041828</c:v>
                </c:pt>
                <c:pt idx="2">
                  <c:v>0.18220489188231123</c:v>
                </c:pt>
                <c:pt idx="3">
                  <c:v>0.24158099964551577</c:v>
                </c:pt>
                <c:pt idx="4">
                  <c:v>0.21889400921658986</c:v>
                </c:pt>
                <c:pt idx="5">
                  <c:v>0</c:v>
                </c:pt>
              </c:numCache>
            </c:numRef>
          </c:val>
          <c:smooth val="0"/>
          <c:extLst>
            <c:ext xmlns:c16="http://schemas.microsoft.com/office/drawing/2014/chart" uri="{C3380CC4-5D6E-409C-BE32-E72D297353CC}">
              <c16:uniqueId val="{00000000-57C2-44F3-9762-E717B849239E}"/>
            </c:ext>
          </c:extLst>
        </c:ser>
        <c:dLbls>
          <c:showLegendKey val="0"/>
          <c:showVal val="0"/>
          <c:showCatName val="0"/>
          <c:showSerName val="0"/>
          <c:showPercent val="0"/>
          <c:showBubbleSize val="0"/>
        </c:dLbls>
        <c:smooth val="0"/>
        <c:axId val="1314022335"/>
        <c:axId val="1314021919"/>
      </c:lineChart>
      <c:catAx>
        <c:axId val="1314022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021919"/>
        <c:crosses val="autoZero"/>
        <c:auto val="1"/>
        <c:lblAlgn val="ctr"/>
        <c:lblOffset val="100"/>
        <c:noMultiLvlLbl val="0"/>
      </c:catAx>
      <c:valAx>
        <c:axId val="13140219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022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9</xdr:col>
      <xdr:colOff>595311</xdr:colOff>
      <xdr:row>2</xdr:row>
      <xdr:rowOff>23812</xdr:rowOff>
    </xdr:from>
    <xdr:to>
      <xdr:col>23</xdr:col>
      <xdr:colOff>209550</xdr:colOff>
      <xdr:row>21</xdr:row>
      <xdr:rowOff>0</xdr:rowOff>
    </xdr:to>
    <xdr:graphicFrame macro="">
      <xdr:nvGraphicFramePr>
        <xdr:cNvPr id="2" name="Chart 1">
          <a:extLst>
            <a:ext uri="{FF2B5EF4-FFF2-40B4-BE49-F238E27FC236}">
              <a16:creationId xmlns:a16="http://schemas.microsoft.com/office/drawing/2014/main" id="{E2AA55EE-171A-484C-B243-D1AC8952CD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52387</xdr:colOff>
      <xdr:row>23</xdr:row>
      <xdr:rowOff>66675</xdr:rowOff>
    </xdr:from>
    <xdr:to>
      <xdr:col>22</xdr:col>
      <xdr:colOff>352425</xdr:colOff>
      <xdr:row>36</xdr:row>
      <xdr:rowOff>114300</xdr:rowOff>
    </xdr:to>
    <xdr:graphicFrame macro="">
      <xdr:nvGraphicFramePr>
        <xdr:cNvPr id="3" name="Chart 2">
          <a:extLst>
            <a:ext uri="{FF2B5EF4-FFF2-40B4-BE49-F238E27FC236}">
              <a16:creationId xmlns:a16="http://schemas.microsoft.com/office/drawing/2014/main" id="{ABC01A3D-B50C-48EF-AB06-952F438FEB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22</xdr:row>
      <xdr:rowOff>0</xdr:rowOff>
    </xdr:from>
    <xdr:to>
      <xdr:col>14</xdr:col>
      <xdr:colOff>129957</xdr:colOff>
      <xdr:row>29</xdr:row>
      <xdr:rowOff>28687</xdr:rowOff>
    </xdr:to>
    <xdr:pic>
      <xdr:nvPicPr>
        <xdr:cNvPr id="2" name="Picture 1">
          <a:extLst>
            <a:ext uri="{FF2B5EF4-FFF2-40B4-BE49-F238E27FC236}">
              <a16:creationId xmlns:a16="http://schemas.microsoft.com/office/drawing/2014/main" id="{5AEFA674-6472-93AD-1D77-0ECADD77DC83}"/>
            </a:ext>
          </a:extLst>
        </xdr:cNvPr>
        <xdr:cNvPicPr>
          <a:picLocks noChangeAspect="1"/>
        </xdr:cNvPicPr>
      </xdr:nvPicPr>
      <xdr:blipFill>
        <a:blip xmlns:r="http://schemas.openxmlformats.org/officeDocument/2006/relationships" r:embed="rId1"/>
        <a:stretch>
          <a:fillRect/>
        </a:stretch>
      </xdr:blipFill>
      <xdr:spPr>
        <a:xfrm>
          <a:off x="8991600" y="3981450"/>
          <a:ext cx="4816257" cy="1295512"/>
        </a:xfrm>
        <a:prstGeom prst="rect">
          <a:avLst/>
        </a:prstGeom>
      </xdr:spPr>
    </xdr:pic>
    <xdr:clientData/>
  </xdr:twoCellAnchor>
  <xdr:twoCellAnchor editAs="oneCell">
    <xdr:from>
      <xdr:col>6</xdr:col>
      <xdr:colOff>0</xdr:colOff>
      <xdr:row>31</xdr:row>
      <xdr:rowOff>0</xdr:rowOff>
    </xdr:from>
    <xdr:to>
      <xdr:col>15</xdr:col>
      <xdr:colOff>305285</xdr:colOff>
      <xdr:row>51</xdr:row>
      <xdr:rowOff>91762</xdr:rowOff>
    </xdr:to>
    <xdr:pic>
      <xdr:nvPicPr>
        <xdr:cNvPr id="3" name="Picture 2">
          <a:extLst>
            <a:ext uri="{FF2B5EF4-FFF2-40B4-BE49-F238E27FC236}">
              <a16:creationId xmlns:a16="http://schemas.microsoft.com/office/drawing/2014/main" id="{8793AFDE-054C-C18C-F788-22144DD6442A}"/>
            </a:ext>
          </a:extLst>
        </xdr:cNvPr>
        <xdr:cNvPicPr>
          <a:picLocks noChangeAspect="1"/>
        </xdr:cNvPicPr>
      </xdr:nvPicPr>
      <xdr:blipFill>
        <a:blip xmlns:r="http://schemas.openxmlformats.org/officeDocument/2006/relationships" r:embed="rId2"/>
        <a:stretch>
          <a:fillRect/>
        </a:stretch>
      </xdr:blipFill>
      <xdr:spPr>
        <a:xfrm>
          <a:off x="8991600" y="5610225"/>
          <a:ext cx="5601185" cy="371126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419099</xdr:colOff>
      <xdr:row>35</xdr:row>
      <xdr:rowOff>161925</xdr:rowOff>
    </xdr:from>
    <xdr:to>
      <xdr:col>14</xdr:col>
      <xdr:colOff>476250</xdr:colOff>
      <xdr:row>64</xdr:row>
      <xdr:rowOff>19050</xdr:rowOff>
    </xdr:to>
    <xdr:graphicFrame macro="">
      <xdr:nvGraphicFramePr>
        <xdr:cNvPr id="2" name="Chart 1">
          <a:extLst>
            <a:ext uri="{FF2B5EF4-FFF2-40B4-BE49-F238E27FC236}">
              <a16:creationId xmlns:a16="http://schemas.microsoft.com/office/drawing/2014/main" id="{04A34B12-F888-438C-8CE1-FF331991F6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500342</xdr:colOff>
      <xdr:row>35</xdr:row>
      <xdr:rowOff>65833</xdr:rowOff>
    </xdr:from>
    <xdr:to>
      <xdr:col>28</xdr:col>
      <xdr:colOff>209549</xdr:colOff>
      <xdr:row>65</xdr:row>
      <xdr:rowOff>32496</xdr:rowOff>
    </xdr:to>
    <xdr:graphicFrame macro="">
      <xdr:nvGraphicFramePr>
        <xdr:cNvPr id="3" name="Chart 2">
          <a:extLst>
            <a:ext uri="{FF2B5EF4-FFF2-40B4-BE49-F238E27FC236}">
              <a16:creationId xmlns:a16="http://schemas.microsoft.com/office/drawing/2014/main" id="{62AEE37F-EEDD-4A10-9D72-814FBAF5BC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73398</xdr:colOff>
      <xdr:row>42</xdr:row>
      <xdr:rowOff>114580</xdr:rowOff>
    </xdr:from>
    <xdr:to>
      <xdr:col>37</xdr:col>
      <xdr:colOff>44823</xdr:colOff>
      <xdr:row>57</xdr:row>
      <xdr:rowOff>280</xdr:rowOff>
    </xdr:to>
    <xdr:graphicFrame macro="">
      <xdr:nvGraphicFramePr>
        <xdr:cNvPr id="5" name="Chart 4">
          <a:extLst>
            <a:ext uri="{FF2B5EF4-FFF2-40B4-BE49-F238E27FC236}">
              <a16:creationId xmlns:a16="http://schemas.microsoft.com/office/drawing/2014/main" id="{F6E43378-E9F1-4C52-8EE7-8A07655E2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 Dacosta" refreshedDate="44930.491641550929" createdVersion="8" refreshedVersion="8" minRefreshableVersion="3" recordCount="576" xr:uid="{24DBAAB2-2A20-468B-B7DC-7E215E1550BC}">
  <cacheSource type="worksheet">
    <worksheetSource ref="A1:Y1048576" sheet="December by Interval"/>
  </cacheSource>
  <cacheFields count="25">
    <cacheField name="Week" numFmtId="0">
      <sharedItems containsBlank="1"/>
    </cacheField>
    <cacheField name="Date" numFmtId="0">
      <sharedItems containsNonDate="0" containsDate="1" containsString="0" containsBlank="1" minDate="1899-12-30T00:00:00" maxDate="2022-12-31T00:00:00" count="23">
        <d v="2022-12-01T00:00:00"/>
        <d v="2022-12-02T00:00:00"/>
        <d v="2022-12-05T00:00:00"/>
        <d v="2022-12-06T00:00:00"/>
        <d v="2022-12-07T00:00:00"/>
        <d v="2022-12-08T00:00:00"/>
        <d v="2022-12-09T00:00:00"/>
        <d v="2022-12-12T00:00:00"/>
        <d v="2022-12-13T00:00:00"/>
        <d v="2022-12-14T00:00:00"/>
        <d v="2022-12-15T00:00:00"/>
        <d v="2022-12-16T00:00:00"/>
        <d v="2022-12-19T00:00:00"/>
        <d v="2022-12-20T00:00:00"/>
        <d v="2022-12-21T00:00:00"/>
        <d v="2022-12-22T00:00:00"/>
        <d v="2022-12-23T00:00:00"/>
        <d v="2022-12-27T00:00:00"/>
        <d v="2022-12-28T00:00:00"/>
        <d v="2022-12-29T00:00:00"/>
        <d v="2022-12-30T00:00:00"/>
        <d v="1899-12-30T00:00:00"/>
        <m/>
      </sharedItems>
      <fieldGroup par="24" base="1">
        <rangePr groupBy="days" startDate="1899-12-30T00:00:00" endDate="2022-12-31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2"/>
        </groupItems>
      </fieldGroup>
    </cacheField>
    <cacheField name="Requested" numFmtId="0">
      <sharedItems containsNonDate="0" containsDate="1" containsString="0" containsBlank="1" minDate="2022-12-01T00:00:00" maxDate="2022-12-31T00:00:00"/>
    </cacheField>
    <cacheField name="Interval" numFmtId="0">
      <sharedItems containsNonDate="0" containsDate="1" containsString="0" containsBlank="1" minDate="1899-12-30T01:00:00" maxDate="1899-12-30T12:00:00"/>
    </cacheField>
    <cacheField name="AM/PM" numFmtId="0">
      <sharedItems containsBlank="1"/>
    </cacheField>
    <cacheField name="Average Wait Time" numFmtId="0">
      <sharedItems containsBlank="1"/>
    </cacheField>
    <cacheField name="Expired/Declined" numFmtId="0">
      <sharedItems containsString="0" containsBlank="1" containsNumber="1" containsInteger="1" minValue="0" maxValue="14"/>
    </cacheField>
    <cacheField name="Abandoned" numFmtId="0">
      <sharedItems containsString="0" containsBlank="1" containsNumber="1" containsInteger="1" minValue="0" maxValue="14"/>
    </cacheField>
    <cacheField name="Resolved" numFmtId="0">
      <sharedItems containsString="0" containsBlank="1" containsNumber="1" containsInteger="1" minValue="1" maxValue="59"/>
    </cacheField>
    <cacheField name="Total Chat Requests" numFmtId="0">
      <sharedItems containsString="0" containsBlank="1" containsNumber="1" containsInteger="1" minValue="1" maxValue="60"/>
    </cacheField>
    <cacheField name="Leave Blank" numFmtId="0">
      <sharedItems containsNonDate="0" containsString="0" containsBlank="1"/>
    </cacheField>
    <cacheField name="Week2" numFmtId="0">
      <sharedItems containsBlank="1"/>
    </cacheField>
    <cacheField name="Chat" numFmtId="0">
      <sharedItems containsNonDate="0" containsDate="1" containsString="0" containsBlank="1" minDate="2022-12-01T00:00:00" maxDate="2022-12-31T00:00:00"/>
    </cacheField>
    <cacheField name="Requested2" numFmtId="0">
      <sharedItems containsNonDate="0" containsDate="1" containsString="0" containsBlank="1" minDate="1899-12-30T01:00:00" maxDate="1899-12-30T12:00:00"/>
    </cacheField>
    <cacheField name="Hour" numFmtId="0">
      <sharedItems containsBlank="1"/>
    </cacheField>
    <cacheField name="Average Handled Time" numFmtId="0">
      <sharedItems containsBlank="1"/>
    </cacheField>
    <cacheField name="Average Wait Time2" numFmtId="0">
      <sharedItems containsBlank="1"/>
    </cacheField>
    <cacheField name="Service level" numFmtId="0">
      <sharedItems containsString="0" containsBlank="1" containsNumber="1" minValue="12.121212121212121" maxValue="100"/>
    </cacheField>
    <cacheField name="No of Resolved Requests" numFmtId="0">
      <sharedItems containsString="0" containsBlank="1" containsNumber="1" containsInteger="1" minValue="1" maxValue="59"/>
    </cacheField>
    <cacheField name="Leave Blank2" numFmtId="0">
      <sharedItems containsNonDate="0" containsString="0" containsBlank="1"/>
    </cacheField>
    <cacheField name="Total Handle Time" numFmtId="0">
      <sharedItems containsString="0" containsBlank="1" containsNumber="1" minValue="0" maxValue="104993.99999999999"/>
    </cacheField>
    <cacheField name="AHT" numFmtId="0">
      <sharedItems containsString="0" containsBlank="1" containsNumber="1" minValue="0" maxValue="2762.9999999999995"/>
    </cacheField>
    <cacheField name="AWT" numFmtId="0">
      <sharedItems containsString="0" containsBlank="1" containsNumber="1" minValue="0" maxValue="824"/>
    </cacheField>
    <cacheField name="SL" numFmtId="9">
      <sharedItems containsString="0" containsBlank="1" containsNumber="1" minValue="0" maxValue="1"/>
    </cacheField>
    <cacheField name="Months" numFmtId="0" databaseField="0">
      <fieldGroup base="1">
        <rangePr groupBy="months" startDate="1899-12-30T00:00:00" endDate="2022-12-31T00:00:00"/>
        <groupItems count="14">
          <s v="&lt;1/0/1900"/>
          <s v="Jan"/>
          <s v="Feb"/>
          <s v="Mar"/>
          <s v="Apr"/>
          <s v="May"/>
          <s v="Jun"/>
          <s v="Jul"/>
          <s v="Aug"/>
          <s v="Sep"/>
          <s v="Oct"/>
          <s v="Nov"/>
          <s v="Dec"/>
          <s v="&gt;12/31/2022"/>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 Dacosta" refreshedDate="44930.491641898145" createdVersion="8" refreshedVersion="8" minRefreshableVersion="3" recordCount="196" xr:uid="{AAB17793-68D5-402A-A65D-D4CBCD7B8624}">
  <cacheSource type="worksheet">
    <worksheetSource ref="M1:Y197" sheet="December by Interval"/>
  </cacheSource>
  <cacheFields count="13">
    <cacheField name="Week" numFmtId="168">
      <sharedItems count="7">
        <s v="Thursday"/>
        <s v="Friday"/>
        <s v="Monday"/>
        <s v="Tuesday"/>
        <s v="Wednesday"/>
        <s v="Saturday"/>
        <s v="Sunday" u="1"/>
      </sharedItems>
    </cacheField>
    <cacheField name="Chat" numFmtId="14">
      <sharedItems containsNonDate="0" containsDate="1" containsString="0" containsBlank="1" minDate="2022-12-01T00:00:00" maxDate="2022-12-31T00:00:00"/>
    </cacheField>
    <cacheField name="Requested" numFmtId="20">
      <sharedItems containsNonDate="0" containsDate="1" containsString="0" containsBlank="1" minDate="1899-12-30T01:00:00" maxDate="1899-12-30T12:00:00" count="11">
        <d v="1899-12-30T08:00:00"/>
        <d v="1899-12-30T09:00:00"/>
        <d v="1899-12-30T10:00:00"/>
        <d v="1899-12-30T11:00:00"/>
        <d v="1899-12-30T12:00:00"/>
        <d v="1899-12-30T01:00:00"/>
        <d v="1899-12-30T02:00:00"/>
        <d v="1899-12-30T03:00:00"/>
        <d v="1899-12-30T04:00:00"/>
        <d v="1899-12-30T05:00:00"/>
        <m/>
      </sharedItems>
    </cacheField>
    <cacheField name="Hour" numFmtId="0">
      <sharedItems containsBlank="1"/>
    </cacheField>
    <cacheField name="Average Handled Time" numFmtId="0">
      <sharedItems containsBlank="1"/>
    </cacheField>
    <cacheField name="Average Wait Time" numFmtId="0">
      <sharedItems containsBlank="1"/>
    </cacheField>
    <cacheField name="Service level" numFmtId="169">
      <sharedItems containsString="0" containsBlank="1" containsNumber="1" minValue="12.121212121212121" maxValue="100"/>
    </cacheField>
    <cacheField name="No of Resolved Requests" numFmtId="168">
      <sharedItems containsString="0" containsBlank="1" containsNumber="1" containsInteger="1" minValue="1" maxValue="59"/>
    </cacheField>
    <cacheField name="Leave Blank" numFmtId="0">
      <sharedItems containsNonDate="0" containsString="0" containsBlank="1"/>
    </cacheField>
    <cacheField name="Total Handle Time" numFmtId="0">
      <sharedItems containsSemiMixedTypes="0" containsString="0" containsNumber="1" minValue="0" maxValue="104993.99999999999"/>
    </cacheField>
    <cacheField name="AHT" numFmtId="0">
      <sharedItems containsSemiMixedTypes="0" containsString="0" containsNumber="1" minValue="0" maxValue="2762.9999999999995"/>
    </cacheField>
    <cacheField name="AWT" numFmtId="0">
      <sharedItems containsSemiMixedTypes="0" containsString="0" containsNumber="1" minValue="0" maxValue="824"/>
    </cacheField>
    <cacheField name="SL" numFmtId="9">
      <sharedItems containsSemiMixedTypes="0" containsString="0" containsNumber="1" minValue="0"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 Dacosta" refreshedDate="44930.491642013891" createdVersion="8" refreshedVersion="8" minRefreshableVersion="3" recordCount="196" xr:uid="{3344AB1F-5136-407E-B170-1990FD1D8F98}">
  <cacheSource type="worksheet">
    <worksheetSource ref="A1:K197" sheet="December by Interval"/>
  </cacheSource>
  <cacheFields count="10">
    <cacheField name="Week" numFmtId="168">
      <sharedItems count="7">
        <s v="Thursday"/>
        <s v="Friday"/>
        <s v="Monday"/>
        <s v="Tuesday"/>
        <s v="Wednesday"/>
        <s v="Saturday"/>
        <s v="Sunday" u="1"/>
      </sharedItems>
    </cacheField>
    <cacheField name="Date" numFmtId="14">
      <sharedItems containsSemiMixedTypes="0" containsNonDate="0" containsDate="1" containsString="0" minDate="1899-12-30T00:00:00" maxDate="2022-12-31T00:00:00"/>
    </cacheField>
    <cacheField name="Requested" numFmtId="14">
      <sharedItems containsNonDate="0" containsDate="1" containsString="0" containsBlank="1" minDate="2022-12-01T00:00:00" maxDate="2022-12-31T00:00:00"/>
    </cacheField>
    <cacheField name="Interval" numFmtId="20">
      <sharedItems containsNonDate="0" containsDate="1" containsString="0" containsBlank="1" minDate="1899-12-30T01:00:00" maxDate="1899-12-30T12:00:00" count="11">
        <d v="1899-12-30T08:00:00"/>
        <d v="1899-12-30T09:00:00"/>
        <d v="1899-12-30T10:00:00"/>
        <d v="1899-12-30T11:00:00"/>
        <d v="1899-12-30T12:00:00"/>
        <d v="1899-12-30T01:00:00"/>
        <d v="1899-12-30T02:00:00"/>
        <d v="1899-12-30T03:00:00"/>
        <d v="1899-12-30T04:00:00"/>
        <d v="1899-12-30T05:00:00"/>
        <m/>
      </sharedItems>
    </cacheField>
    <cacheField name="AM/PM" numFmtId="0">
      <sharedItems containsBlank="1"/>
    </cacheField>
    <cacheField name="Average Wait Time" numFmtId="0">
      <sharedItems containsBlank="1"/>
    </cacheField>
    <cacheField name="Expired/Declined" numFmtId="168">
      <sharedItems containsString="0" containsBlank="1" containsNumber="1" containsInteger="1" minValue="0" maxValue="14"/>
    </cacheField>
    <cacheField name="Abandoned" numFmtId="168">
      <sharedItems containsString="0" containsBlank="1" containsNumber="1" containsInteger="1" minValue="0" maxValue="14"/>
    </cacheField>
    <cacheField name="Resolved" numFmtId="168">
      <sharedItems containsString="0" containsBlank="1" containsNumber="1" containsInteger="1" minValue="1" maxValue="59"/>
    </cacheField>
    <cacheField name="Total Chat Requests" numFmtId="168">
      <sharedItems containsString="0" containsBlank="1" containsNumber="1" containsInteger="1" minValue="1" maxValue="6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6">
  <r>
    <s v="Thursday"/>
    <x v="0"/>
    <d v="2022-12-01T00:00:00"/>
    <d v="1899-12-30T08:00:00"/>
    <s v="AM"/>
    <s v="00:03:37"/>
    <n v="4"/>
    <n v="0"/>
    <n v="25"/>
    <n v="25"/>
    <m/>
    <s v="Thursday"/>
    <d v="2022-12-01T00:00:00"/>
    <d v="1899-12-30T08:00:00"/>
    <s v="AM"/>
    <s v="00:09:00"/>
    <s v="00:03:36"/>
    <n v="40"/>
    <n v="25"/>
    <m/>
    <n v="13500"/>
    <n v="540"/>
    <n v="216"/>
    <n v="0.4"/>
  </r>
  <r>
    <s v="Thursday"/>
    <x v="0"/>
    <d v="2022-12-01T00:00:00"/>
    <d v="1899-12-30T09:00:00"/>
    <s v="AM"/>
    <s v="00:04:31"/>
    <n v="2"/>
    <n v="1"/>
    <n v="33"/>
    <n v="34"/>
    <m/>
    <s v="Thursday"/>
    <d v="2022-12-01T00:00:00"/>
    <d v="1899-12-30T09:00:00"/>
    <s v="AM"/>
    <s v="00:13:30"/>
    <s v="00:04:30"/>
    <n v="12.121212121212121"/>
    <n v="33"/>
    <m/>
    <n v="27540"/>
    <n v="810"/>
    <n v="270"/>
    <n v="0.12121212121212122"/>
  </r>
  <r>
    <s v="Thursday"/>
    <x v="0"/>
    <d v="2022-12-01T00:00:00"/>
    <d v="1899-12-30T10:00:00"/>
    <s v="AM"/>
    <s v="00:00:18"/>
    <n v="4"/>
    <n v="0"/>
    <n v="30"/>
    <n v="30"/>
    <m/>
    <s v="Thursday"/>
    <d v="2022-12-01T00:00:00"/>
    <d v="1899-12-30T10:00:00"/>
    <s v="AM"/>
    <s v="00:13:06"/>
    <s v="00:00:17"/>
    <n v="83.333333333333343"/>
    <n v="30"/>
    <m/>
    <n v="23580"/>
    <n v="786"/>
    <n v="17"/>
    <n v="0.83333333333333348"/>
  </r>
  <r>
    <s v="Thursday"/>
    <x v="0"/>
    <d v="2022-12-01T00:00:00"/>
    <d v="1899-12-30T11:00:00"/>
    <s v="AM"/>
    <s v="00:00:12"/>
    <n v="2"/>
    <n v="0"/>
    <n v="28"/>
    <n v="28"/>
    <m/>
    <s v="Thursday"/>
    <d v="2022-12-01T00:00:00"/>
    <d v="1899-12-30T11:00:00"/>
    <s v="AM"/>
    <s v="00:19:55"/>
    <s v="00:00:11"/>
    <n v="92.857142857142861"/>
    <n v="28"/>
    <m/>
    <n v="33460.000000000007"/>
    <n v="1195.0000000000002"/>
    <n v="10.999999999999998"/>
    <n v="0.9285714285714286"/>
  </r>
  <r>
    <s v="Thursday"/>
    <x v="0"/>
    <d v="2022-12-01T00:00:00"/>
    <d v="1899-12-30T12:00:00"/>
    <s v="PM"/>
    <s v="00:02:12"/>
    <n v="5"/>
    <n v="1"/>
    <n v="50"/>
    <n v="51"/>
    <m/>
    <s v="Thursday"/>
    <d v="2022-12-01T00:00:00"/>
    <d v="1899-12-30T12:00:00"/>
    <s v="PM"/>
    <s v="00:14:31"/>
    <s v="00:02:11"/>
    <n v="60"/>
    <n v="50"/>
    <m/>
    <n v="44421"/>
    <n v="871"/>
    <n v="131"/>
    <n v="0.6"/>
  </r>
  <r>
    <s v="Thursday"/>
    <x v="0"/>
    <d v="2022-12-01T00:00:00"/>
    <d v="1899-12-30T01:00:00"/>
    <s v="PM"/>
    <s v="00:00:25"/>
    <n v="3"/>
    <n v="0"/>
    <n v="36"/>
    <n v="36"/>
    <m/>
    <s v="Thursday"/>
    <d v="2022-12-01T00:00:00"/>
    <d v="1899-12-30T01:00:00"/>
    <s v="PM"/>
    <s v="00:16:15"/>
    <s v="00:00:24"/>
    <n v="86.111111111111114"/>
    <n v="36"/>
    <m/>
    <n v="35100"/>
    <n v="975"/>
    <n v="24"/>
    <n v="0.86111111111111116"/>
  </r>
  <r>
    <s v="Thursday"/>
    <x v="0"/>
    <d v="2022-12-01T00:00:00"/>
    <d v="1899-12-30T02:00:00"/>
    <s v="PM"/>
    <s v="00:00:14"/>
    <n v="2"/>
    <n v="0"/>
    <n v="37"/>
    <n v="37"/>
    <m/>
    <s v="Thursday"/>
    <d v="2022-12-01T00:00:00"/>
    <d v="1899-12-30T02:00:00"/>
    <s v="PM"/>
    <s v="00:13:19"/>
    <s v="00:00:13"/>
    <n v="91.891891891891902"/>
    <n v="37"/>
    <m/>
    <n v="29563"/>
    <n v="799"/>
    <n v="13.000000000000002"/>
    <n v="0.91891891891891897"/>
  </r>
  <r>
    <s v="Thursday"/>
    <x v="0"/>
    <d v="2022-12-01T00:00:00"/>
    <d v="1899-12-30T03:00:00"/>
    <s v="PM"/>
    <s v="00:00:23"/>
    <n v="4"/>
    <n v="0"/>
    <n v="28"/>
    <n v="28"/>
    <m/>
    <s v="Thursday"/>
    <d v="2022-12-01T00:00:00"/>
    <d v="1899-12-30T03:00:00"/>
    <s v="PM"/>
    <s v="00:13:30"/>
    <s v="00:00:22"/>
    <n v="78.571428571428569"/>
    <n v="28"/>
    <m/>
    <n v="22680"/>
    <n v="810"/>
    <n v="21.999999999999996"/>
    <n v="0.7857142857142857"/>
  </r>
  <r>
    <s v="Thursday"/>
    <x v="0"/>
    <d v="2022-12-01T00:00:00"/>
    <d v="1899-12-30T04:00:00"/>
    <s v="PM"/>
    <s v="00:02:30"/>
    <n v="2"/>
    <n v="0"/>
    <n v="28"/>
    <n v="28"/>
    <m/>
    <s v="Thursday"/>
    <d v="2022-12-01T00:00:00"/>
    <d v="1899-12-30T04:00:00"/>
    <s v="PM"/>
    <s v="00:15:30"/>
    <s v="00:02:29"/>
    <n v="64.285714285714292"/>
    <n v="28"/>
    <m/>
    <n v="26040.000000000004"/>
    <n v="930.00000000000011"/>
    <n v="149.00000000000003"/>
    <n v="0.6428571428571429"/>
  </r>
  <r>
    <s v="Friday"/>
    <x v="1"/>
    <d v="2022-12-02T00:00:00"/>
    <d v="1899-12-30T08:00:00"/>
    <s v="AM"/>
    <s v="00:00:12"/>
    <n v="1"/>
    <n v="0"/>
    <n v="24"/>
    <n v="24"/>
    <m/>
    <s v="Friday"/>
    <d v="2022-12-02T00:00:00"/>
    <d v="1899-12-30T08:00:00"/>
    <s v="AM"/>
    <s v="00:17:52"/>
    <s v="00:00:11"/>
    <n v="95.833333333333343"/>
    <n v="24"/>
    <m/>
    <n v="25728"/>
    <n v="1072"/>
    <n v="10.999999999999998"/>
    <n v="0.95833333333333348"/>
  </r>
  <r>
    <s v="Friday"/>
    <x v="1"/>
    <d v="2022-12-02T00:00:00"/>
    <d v="1899-12-30T09:00:00"/>
    <s v="AM"/>
    <s v="00:00:46"/>
    <n v="2"/>
    <n v="0"/>
    <n v="27"/>
    <n v="27"/>
    <m/>
    <s v="Friday"/>
    <d v="2022-12-02T00:00:00"/>
    <d v="1899-12-30T09:00:00"/>
    <s v="AM"/>
    <s v="00:11:24"/>
    <s v="00:00:45"/>
    <n v="74.074074074074076"/>
    <n v="27"/>
    <m/>
    <n v="18468.000000000004"/>
    <n v="684.00000000000011"/>
    <n v="45"/>
    <n v="0.74074074074074081"/>
  </r>
  <r>
    <s v="Friday"/>
    <x v="1"/>
    <d v="2022-12-02T00:00:00"/>
    <d v="1899-12-30T10:00:00"/>
    <s v="AM"/>
    <s v="00:01:04"/>
    <n v="2"/>
    <n v="0"/>
    <n v="45"/>
    <n v="45"/>
    <m/>
    <s v="Friday"/>
    <d v="2022-12-02T00:00:00"/>
    <d v="1899-12-30T10:00:00"/>
    <s v="AM"/>
    <s v="00:13:33"/>
    <s v="00:01:03"/>
    <n v="82.222222222222214"/>
    <n v="45"/>
    <m/>
    <n v="36585.000000000007"/>
    <n v="813.00000000000011"/>
    <n v="63"/>
    <n v="0.82222222222222219"/>
  </r>
  <r>
    <s v="Friday"/>
    <x v="1"/>
    <d v="2022-12-02T00:00:00"/>
    <d v="1899-12-30T11:00:00"/>
    <s v="AM"/>
    <s v="00:00:21"/>
    <n v="3"/>
    <n v="0"/>
    <n v="34"/>
    <n v="34"/>
    <m/>
    <s v="Friday"/>
    <d v="2022-12-02T00:00:00"/>
    <d v="1899-12-30T11:00:00"/>
    <s v="AM"/>
    <s v="00:14:51"/>
    <s v="00:00:20"/>
    <n v="88.235294117647058"/>
    <n v="34"/>
    <m/>
    <n v="30294"/>
    <n v="891"/>
    <n v="20"/>
    <n v="0.88235294117647056"/>
  </r>
  <r>
    <s v="Friday"/>
    <x v="1"/>
    <d v="2022-12-02T00:00:00"/>
    <d v="1899-12-30T12:00:00"/>
    <s v="PM"/>
    <s v="00:08:23"/>
    <n v="2"/>
    <n v="1"/>
    <n v="30"/>
    <n v="31"/>
    <m/>
    <s v="Friday"/>
    <d v="2022-12-02T00:00:00"/>
    <d v="1899-12-30T12:00:00"/>
    <s v="PM"/>
    <s v="00:15:52"/>
    <s v="00:08:22"/>
    <n v="30"/>
    <n v="30"/>
    <m/>
    <n v="29511.999999999996"/>
    <n v="951.99999999999989"/>
    <n v="502.00000000000006"/>
    <n v="0.3"/>
  </r>
  <r>
    <s v="Friday"/>
    <x v="1"/>
    <d v="2022-12-02T00:00:00"/>
    <d v="1899-12-30T01:00:00"/>
    <s v="PM"/>
    <s v="00:00:27"/>
    <n v="3"/>
    <n v="1"/>
    <n v="25"/>
    <n v="26"/>
    <m/>
    <s v="Friday"/>
    <d v="2022-12-02T00:00:00"/>
    <d v="1899-12-30T01:00:00"/>
    <s v="PM"/>
    <s v="00:14:31"/>
    <s v="00:00:26"/>
    <n v="76"/>
    <n v="25"/>
    <m/>
    <n v="22646"/>
    <n v="871"/>
    <n v="26.000000000000004"/>
    <n v="0.76"/>
  </r>
  <r>
    <s v="Friday"/>
    <x v="1"/>
    <d v="2022-12-02T00:00:00"/>
    <d v="1899-12-30T02:00:00"/>
    <s v="PM"/>
    <s v="00:00:17"/>
    <n v="3"/>
    <n v="0"/>
    <n v="33"/>
    <n v="33"/>
    <m/>
    <s v="Friday"/>
    <d v="2022-12-02T00:00:00"/>
    <d v="1899-12-30T02:00:00"/>
    <s v="PM"/>
    <s v="00:16:43"/>
    <s v="00:00:16"/>
    <n v="84.848484848484844"/>
    <n v="33"/>
    <m/>
    <n v="33099"/>
    <n v="1003"/>
    <n v="16"/>
    <n v="0.8484848484848484"/>
  </r>
  <r>
    <s v="Friday"/>
    <x v="1"/>
    <d v="2022-12-02T00:00:00"/>
    <d v="1899-12-30T03:00:00"/>
    <s v="PM"/>
    <s v="00:00:12"/>
    <n v="2"/>
    <n v="0"/>
    <n v="27"/>
    <n v="27"/>
    <m/>
    <s v="Friday"/>
    <d v="2022-12-02T00:00:00"/>
    <d v="1899-12-30T03:00:00"/>
    <s v="PM"/>
    <s v="00:13:28"/>
    <s v="00:00:11"/>
    <n v="92.592592592592595"/>
    <n v="27"/>
    <m/>
    <n v="21816.000000000004"/>
    <n v="808.00000000000011"/>
    <n v="10.999999999999998"/>
    <n v="0.92592592592592593"/>
  </r>
  <r>
    <s v="Friday"/>
    <x v="1"/>
    <d v="2022-12-02T00:00:00"/>
    <d v="1899-12-30T04:00:00"/>
    <s v="PM"/>
    <s v="00:01:42"/>
    <n v="2"/>
    <n v="3"/>
    <n v="19"/>
    <n v="22"/>
    <m/>
    <s v="Friday"/>
    <d v="2022-12-02T00:00:00"/>
    <d v="1899-12-30T04:00:00"/>
    <s v="PM"/>
    <s v="00:13:18"/>
    <s v="00:01:41"/>
    <n v="78.94736842105263"/>
    <n v="19"/>
    <m/>
    <n v="17556"/>
    <n v="798"/>
    <n v="101.00000000000001"/>
    <n v="0.78947368421052633"/>
  </r>
  <r>
    <s v="Monday"/>
    <x v="2"/>
    <d v="2022-12-05T00:00:00"/>
    <d v="1899-12-30T08:00:00"/>
    <s v="AM"/>
    <s v="00:05:07"/>
    <n v="3"/>
    <n v="1"/>
    <n v="27"/>
    <n v="28"/>
    <m/>
    <s v="Monday"/>
    <d v="2022-12-05T00:00:00"/>
    <d v="1899-12-30T08:00:00"/>
    <s v="AM"/>
    <s v="00:11:24"/>
    <s v="00:05:06"/>
    <n v="40.74074074074074"/>
    <n v="27"/>
    <m/>
    <n v="19152.000000000004"/>
    <n v="684.00000000000011"/>
    <n v="306"/>
    <n v="0.40740740740740738"/>
  </r>
  <r>
    <s v="Monday"/>
    <x v="2"/>
    <d v="2022-12-05T00:00:00"/>
    <d v="1899-12-30T09:00:00"/>
    <s v="AM"/>
    <s v="00:06:49"/>
    <n v="3"/>
    <n v="2"/>
    <n v="34"/>
    <n v="36"/>
    <m/>
    <s v="Monday"/>
    <d v="2022-12-05T00:00:00"/>
    <d v="1899-12-30T09:00:00"/>
    <s v="AM"/>
    <s v="00:15:58"/>
    <s v="00:06:48"/>
    <n v="20.588235294117645"/>
    <n v="34"/>
    <m/>
    <n v="34488.000000000007"/>
    <n v="958.00000000000011"/>
    <n v="408"/>
    <n v="0.20588235294117646"/>
  </r>
  <r>
    <s v="Monday"/>
    <x v="2"/>
    <d v="2022-12-05T00:00:00"/>
    <d v="1899-12-30T10:00:00"/>
    <s v="AM"/>
    <s v="00:05:15"/>
    <n v="3"/>
    <n v="4"/>
    <n v="36"/>
    <n v="40"/>
    <m/>
    <s v="Monday"/>
    <d v="2022-12-05T00:00:00"/>
    <d v="1899-12-30T10:00:00"/>
    <s v="AM"/>
    <s v="00:12:23"/>
    <s v="00:05:14"/>
    <n v="38.888888888888893"/>
    <n v="36"/>
    <m/>
    <n v="29719.999999999996"/>
    <n v="742.99999999999989"/>
    <n v="314"/>
    <n v="0.38888888888888895"/>
  </r>
  <r>
    <s v="Monday"/>
    <x v="2"/>
    <d v="2022-12-05T00:00:00"/>
    <d v="1899-12-30T11:00:00"/>
    <s v="AM"/>
    <s v="00:01:16"/>
    <n v="3"/>
    <n v="1"/>
    <n v="59"/>
    <n v="60"/>
    <m/>
    <s v="Monday"/>
    <d v="2022-12-05T00:00:00"/>
    <d v="1899-12-30T11:00:00"/>
    <s v="AM"/>
    <s v="00:11:31"/>
    <s v="00:01:16"/>
    <n v="64.406779661016941"/>
    <n v="59"/>
    <m/>
    <n v="41460"/>
    <n v="691"/>
    <n v="76"/>
    <n v="0.64406779661016944"/>
  </r>
  <r>
    <s v="Monday"/>
    <x v="2"/>
    <d v="2022-12-05T00:00:00"/>
    <d v="1899-12-30T12:00:00"/>
    <s v="PM"/>
    <s v="00:02:32"/>
    <n v="5"/>
    <n v="1"/>
    <n v="45"/>
    <n v="46"/>
    <m/>
    <s v="Monday"/>
    <d v="2022-12-05T00:00:00"/>
    <d v="1899-12-30T12:00:00"/>
    <s v="PM"/>
    <s v="00:13:28"/>
    <s v="00:02:31"/>
    <n v="42.222222222222221"/>
    <n v="45"/>
    <m/>
    <n v="37168.000000000007"/>
    <n v="808.00000000000011"/>
    <n v="151"/>
    <n v="0.42222222222222222"/>
  </r>
  <r>
    <s v="Monday"/>
    <x v="2"/>
    <d v="2022-12-05T00:00:00"/>
    <d v="1899-12-30T01:00:00"/>
    <s v="PM"/>
    <s v="00:07:12"/>
    <n v="3"/>
    <n v="7"/>
    <n v="44"/>
    <n v="51"/>
    <m/>
    <s v="Monday"/>
    <d v="2022-12-05T00:00:00"/>
    <d v="1899-12-30T01:00:00"/>
    <s v="PM"/>
    <s v="00:13:23"/>
    <s v="00:07:11"/>
    <n v="22.727272727272727"/>
    <n v="44"/>
    <m/>
    <n v="40953"/>
    <n v="803"/>
    <n v="431.00000000000006"/>
    <n v="0.22727272727272727"/>
  </r>
  <r>
    <s v="Monday"/>
    <x v="2"/>
    <d v="2022-12-05T00:00:00"/>
    <d v="1899-12-30T02:00:00"/>
    <s v="PM"/>
    <s v="00:08:40"/>
    <n v="2"/>
    <n v="1"/>
    <n v="45"/>
    <n v="46"/>
    <m/>
    <s v="Monday"/>
    <d v="2022-12-05T00:00:00"/>
    <d v="1899-12-30T02:00:00"/>
    <s v="PM"/>
    <s v="00:14:45"/>
    <s v="00:08:39"/>
    <n v="13.333333333333334"/>
    <n v="45"/>
    <m/>
    <n v="40710"/>
    <n v="885"/>
    <n v="519"/>
    <n v="0.13333333333333333"/>
  </r>
  <r>
    <s v="Monday"/>
    <x v="2"/>
    <d v="2022-12-05T00:00:00"/>
    <d v="1899-12-30T03:00:00"/>
    <s v="PM"/>
    <s v="00:00:38"/>
    <n v="2"/>
    <n v="0"/>
    <n v="33"/>
    <n v="33"/>
    <m/>
    <s v="Monday"/>
    <d v="2022-12-05T00:00:00"/>
    <d v="1899-12-30T03:00:00"/>
    <s v="PM"/>
    <s v="00:17:03"/>
    <s v="00:00:37"/>
    <n v="84.848484848484844"/>
    <n v="33"/>
    <m/>
    <n v="33759"/>
    <n v="1023"/>
    <n v="37"/>
    <n v="0.8484848484848484"/>
  </r>
  <r>
    <s v="Monday"/>
    <x v="2"/>
    <d v="2022-12-05T00:00:00"/>
    <d v="1899-12-30T04:00:00"/>
    <s v="PM"/>
    <s v="00:00:24"/>
    <n v="5"/>
    <n v="0"/>
    <n v="29"/>
    <n v="29"/>
    <m/>
    <s v="Monday"/>
    <d v="2022-12-05T00:00:00"/>
    <d v="1899-12-30T04:00:00"/>
    <s v="PM"/>
    <s v="00:11:45"/>
    <s v="00:00:23"/>
    <n v="82.758620689655174"/>
    <n v="29"/>
    <m/>
    <n v="20445"/>
    <n v="705"/>
    <n v="23"/>
    <n v="0.82758620689655171"/>
  </r>
  <r>
    <s v="Monday"/>
    <x v="2"/>
    <d v="2022-12-05T00:00:00"/>
    <d v="1899-12-30T05:00:00"/>
    <s v="PM"/>
    <s v="00:00:05"/>
    <n v="0"/>
    <n v="0"/>
    <n v="1"/>
    <n v="1"/>
    <m/>
    <s v="Monday"/>
    <d v="2022-12-05T00:00:00"/>
    <d v="1899-12-30T05:00:00"/>
    <s v="PM"/>
    <s v="00:22:00"/>
    <s v="00:00:05"/>
    <n v="100"/>
    <n v="1"/>
    <m/>
    <n v="1320"/>
    <n v="1320"/>
    <n v="5"/>
    <n v="1"/>
  </r>
  <r>
    <s v="Tuesday"/>
    <x v="3"/>
    <d v="2022-12-06T00:00:00"/>
    <d v="1899-12-30T08:00:00"/>
    <s v="AM"/>
    <s v="00:00:44"/>
    <n v="4"/>
    <n v="0"/>
    <n v="13"/>
    <n v="13"/>
    <m/>
    <s v="Tuesday"/>
    <d v="2022-12-06T00:00:00"/>
    <d v="1899-12-30T08:00:00"/>
    <s v="AM"/>
    <s v="00:14:00"/>
    <s v="00:00:44"/>
    <n v="61.53846153846154"/>
    <n v="13"/>
    <m/>
    <n v="10920"/>
    <n v="840"/>
    <n v="43.999999999999993"/>
    <n v="0.61538461538461542"/>
  </r>
  <r>
    <s v="Tuesday"/>
    <x v="3"/>
    <d v="2022-12-06T00:00:00"/>
    <d v="1899-12-30T09:00:00"/>
    <s v="AM"/>
    <s v="00:03:03"/>
    <n v="2"/>
    <n v="0"/>
    <n v="29"/>
    <n v="29"/>
    <m/>
    <s v="Tuesday"/>
    <d v="2022-12-06T00:00:00"/>
    <d v="1899-12-30T09:00:00"/>
    <s v="AM"/>
    <s v="00:13:00"/>
    <s v="00:03:02"/>
    <n v="62.068965517241381"/>
    <n v="29"/>
    <m/>
    <n v="22620.000000000004"/>
    <n v="780.00000000000011"/>
    <n v="181.99999999999997"/>
    <n v="0.62068965517241381"/>
  </r>
  <r>
    <s v="Tuesday"/>
    <x v="3"/>
    <d v="2022-12-06T00:00:00"/>
    <d v="1899-12-30T10:00:00"/>
    <s v="AM"/>
    <s v="00:02:28"/>
    <n v="1"/>
    <n v="2"/>
    <n v="38"/>
    <n v="40"/>
    <m/>
    <s v="Tuesday"/>
    <d v="2022-12-06T00:00:00"/>
    <d v="1899-12-30T10:00:00"/>
    <s v="AM"/>
    <s v="00:16:18"/>
    <s v="00:02:27"/>
    <n v="50"/>
    <n v="38"/>
    <m/>
    <n v="39120"/>
    <n v="978"/>
    <n v="147.00000000000003"/>
    <n v="0.5"/>
  </r>
  <r>
    <s v="Tuesday"/>
    <x v="3"/>
    <d v="2022-12-06T00:00:00"/>
    <d v="1899-12-30T11:00:00"/>
    <s v="AM"/>
    <s v="00:00:24"/>
    <n v="4"/>
    <n v="0"/>
    <n v="37"/>
    <n v="37"/>
    <m/>
    <s v="Tuesday"/>
    <d v="2022-12-06T00:00:00"/>
    <d v="1899-12-30T11:00:00"/>
    <s v="AM"/>
    <s v="00:13:14"/>
    <s v="00:00:23"/>
    <n v="83.78378378378379"/>
    <n v="37"/>
    <m/>
    <n v="29377.999999999996"/>
    <n v="793.99999999999989"/>
    <n v="23"/>
    <n v="0.83783783783783794"/>
  </r>
  <r>
    <s v="Tuesday"/>
    <x v="3"/>
    <d v="2022-12-06T00:00:00"/>
    <d v="1899-12-30T12:00:00"/>
    <s v="PM"/>
    <s v="00:00:08"/>
    <n v="1"/>
    <n v="0"/>
    <n v="41"/>
    <n v="41"/>
    <m/>
    <s v="Tuesday"/>
    <d v="2022-12-06T00:00:00"/>
    <d v="1899-12-30T12:00:00"/>
    <s v="PM"/>
    <s v="00:12:40"/>
    <s v="00:00:07"/>
    <n v="97.560975609756099"/>
    <n v="41"/>
    <m/>
    <n v="31160"/>
    <n v="760"/>
    <n v="7"/>
    <n v="0.97560975609756095"/>
  </r>
  <r>
    <s v="Tuesday"/>
    <x v="3"/>
    <d v="2022-12-06T00:00:00"/>
    <d v="1899-12-30T01:00:00"/>
    <s v="PM"/>
    <s v="00:00:12"/>
    <n v="0"/>
    <n v="0"/>
    <n v="29"/>
    <n v="29"/>
    <m/>
    <s v="Tuesday"/>
    <d v="2022-12-06T00:00:00"/>
    <d v="1899-12-30T01:00:00"/>
    <s v="PM"/>
    <s v="00:15:45"/>
    <s v="00:00:11"/>
    <n v="96.551724137931032"/>
    <n v="29"/>
    <m/>
    <n v="27405.000000000004"/>
    <n v="945.00000000000011"/>
    <n v="10.999999999999998"/>
    <n v="0.96551724137931028"/>
  </r>
  <r>
    <s v="Tuesday"/>
    <x v="3"/>
    <d v="2022-12-06T00:00:00"/>
    <d v="1899-12-30T02:00:00"/>
    <s v="PM"/>
    <s v="00:00:27"/>
    <n v="0"/>
    <n v="0"/>
    <n v="23"/>
    <n v="23"/>
    <m/>
    <s v="Tuesday"/>
    <d v="2022-12-06T00:00:00"/>
    <d v="1899-12-30T02:00:00"/>
    <s v="PM"/>
    <s v="00:15:07"/>
    <s v="00:00:26"/>
    <n v="91.304347826086953"/>
    <n v="23"/>
    <m/>
    <n v="20861.000000000004"/>
    <n v="907.00000000000011"/>
    <n v="26.000000000000004"/>
    <n v="0.91304347826086951"/>
  </r>
  <r>
    <s v="Tuesday"/>
    <x v="3"/>
    <d v="2022-12-06T00:00:00"/>
    <d v="1899-12-30T03:00:00"/>
    <s v="PM"/>
    <s v="00:02:49"/>
    <n v="7"/>
    <n v="0"/>
    <n v="39"/>
    <n v="39"/>
    <m/>
    <s v="Tuesday"/>
    <d v="2022-12-06T00:00:00"/>
    <d v="1899-12-30T03:00:00"/>
    <s v="PM"/>
    <s v="00:14:15"/>
    <s v="00:02:48"/>
    <n v="56.410256410256409"/>
    <n v="39"/>
    <m/>
    <n v="33345"/>
    <n v="855"/>
    <n v="167.99999999999997"/>
    <n v="0.5641025641025641"/>
  </r>
  <r>
    <s v="Tuesday"/>
    <x v="3"/>
    <d v="2022-12-06T00:00:00"/>
    <d v="1899-12-30T04:00:00"/>
    <s v="PM"/>
    <s v="00:01:56"/>
    <n v="0"/>
    <n v="0"/>
    <n v="29"/>
    <n v="29"/>
    <m/>
    <s v="Tuesday"/>
    <d v="2022-12-06T00:00:00"/>
    <d v="1899-12-30T04:00:00"/>
    <s v="PM"/>
    <s v="00:13:04"/>
    <s v="00:01:55"/>
    <n v="72.41379310344827"/>
    <n v="29"/>
    <m/>
    <n v="22735.999999999996"/>
    <n v="783.99999999999989"/>
    <n v="115"/>
    <n v="0.72413793103448265"/>
  </r>
  <r>
    <s v="Wednesday"/>
    <x v="4"/>
    <d v="2022-12-07T00:00:00"/>
    <d v="1899-12-30T08:00:00"/>
    <s v="AM"/>
    <s v="00:03:24"/>
    <n v="0"/>
    <n v="1"/>
    <n v="14"/>
    <n v="15"/>
    <m/>
    <s v="Wednesday"/>
    <d v="2022-12-07T00:00:00"/>
    <d v="1899-12-30T08:00:00"/>
    <s v="AM"/>
    <s v="00:13:00"/>
    <s v="00:03:23"/>
    <n v="50"/>
    <n v="14"/>
    <m/>
    <n v="11700.000000000002"/>
    <n v="780.00000000000011"/>
    <n v="203"/>
    <n v="0.5"/>
  </r>
  <r>
    <s v="Wednesday"/>
    <x v="4"/>
    <d v="2022-12-07T00:00:00"/>
    <d v="1899-12-30T09:00:00"/>
    <s v="AM"/>
    <s v="00:00:19"/>
    <n v="3"/>
    <n v="0"/>
    <n v="16"/>
    <n v="16"/>
    <m/>
    <s v="Wednesday"/>
    <d v="2022-12-07T00:00:00"/>
    <d v="1899-12-30T09:00:00"/>
    <s v="AM"/>
    <s v="00:20:15"/>
    <s v="00:00:18"/>
    <n v="81.25"/>
    <n v="16"/>
    <m/>
    <n v="19440"/>
    <n v="1215"/>
    <n v="18"/>
    <n v="0.8125"/>
  </r>
  <r>
    <s v="Wednesday"/>
    <x v="4"/>
    <d v="2022-12-07T00:00:00"/>
    <d v="1899-12-30T10:00:00"/>
    <s v="AM"/>
    <s v="00:01:30"/>
    <n v="7"/>
    <n v="0"/>
    <n v="34"/>
    <n v="34"/>
    <m/>
    <s v="Wednesday"/>
    <d v="2022-12-07T00:00:00"/>
    <d v="1899-12-30T10:00:00"/>
    <s v="AM"/>
    <s v="00:13:05"/>
    <s v="00:01:29"/>
    <n v="55.882352941176471"/>
    <n v="34"/>
    <m/>
    <n v="26690"/>
    <n v="785"/>
    <n v="89"/>
    <n v="0.55882352941176472"/>
  </r>
  <r>
    <s v="Wednesday"/>
    <x v="4"/>
    <d v="2022-12-07T00:00:00"/>
    <d v="1899-12-30T11:00:00"/>
    <s v="AM"/>
    <s v="00:00:14"/>
    <n v="2"/>
    <n v="0"/>
    <n v="31"/>
    <n v="31"/>
    <m/>
    <s v="Wednesday"/>
    <d v="2022-12-07T00:00:00"/>
    <d v="1899-12-30T11:00:00"/>
    <s v="AM"/>
    <s v="00:17:07"/>
    <s v="00:00:13"/>
    <n v="93.548387096774192"/>
    <n v="31"/>
    <m/>
    <n v="31837.000000000007"/>
    <n v="1027.0000000000002"/>
    <n v="13.000000000000002"/>
    <n v="0.93548387096774188"/>
  </r>
  <r>
    <s v="Wednesday"/>
    <x v="4"/>
    <d v="2022-12-07T00:00:00"/>
    <d v="1899-12-30T12:00:00"/>
    <s v="PM"/>
    <s v="00:00:45"/>
    <n v="5"/>
    <n v="0"/>
    <n v="40"/>
    <n v="40"/>
    <m/>
    <s v="Wednesday"/>
    <d v="2022-12-07T00:00:00"/>
    <d v="1899-12-30T12:00:00"/>
    <s v="PM"/>
    <s v="00:14:30"/>
    <s v="00:00:44"/>
    <n v="75"/>
    <n v="40"/>
    <m/>
    <n v="34800"/>
    <n v="870"/>
    <n v="43.999999999999993"/>
    <n v="0.75"/>
  </r>
  <r>
    <s v="Wednesday"/>
    <x v="4"/>
    <d v="2022-12-07T00:00:00"/>
    <d v="1899-12-30T01:00:00"/>
    <s v="PM"/>
    <s v="00:00:16"/>
    <n v="5"/>
    <n v="0"/>
    <n v="39"/>
    <n v="40"/>
    <m/>
    <s v="Wednesday"/>
    <d v="2022-12-07T00:00:00"/>
    <d v="1899-12-30T01:00:00"/>
    <s v="PM"/>
    <s v="00:13:56"/>
    <s v="00:00:16"/>
    <n v="92.307692307692307"/>
    <n v="39"/>
    <m/>
    <n v="33440"/>
    <n v="836"/>
    <n v="16"/>
    <n v="0.92307692307692302"/>
  </r>
  <r>
    <s v="Wednesday"/>
    <x v="4"/>
    <d v="2022-12-07T00:00:00"/>
    <d v="1899-12-30T02:00:00"/>
    <s v="PM"/>
    <s v="00:00:13"/>
    <n v="3"/>
    <n v="0"/>
    <n v="35"/>
    <n v="35"/>
    <m/>
    <s v="Wednesday"/>
    <d v="2022-12-07T00:00:00"/>
    <d v="1899-12-30T02:00:00"/>
    <s v="PM"/>
    <s v="00:14:54"/>
    <s v="00:00:12"/>
    <n v="94.285714285714278"/>
    <n v="35"/>
    <m/>
    <n v="31290.000000000004"/>
    <n v="894.00000000000011"/>
    <n v="12"/>
    <n v="0.94285714285714273"/>
  </r>
  <r>
    <s v="Wednesday"/>
    <x v="4"/>
    <d v="2022-12-07T00:00:00"/>
    <d v="1899-12-30T03:00:00"/>
    <s v="PM"/>
    <s v="00:00:55"/>
    <n v="6"/>
    <n v="0"/>
    <n v="32"/>
    <n v="32"/>
    <m/>
    <s v="Wednesday"/>
    <d v="2022-12-07T00:00:00"/>
    <d v="1899-12-30T03:00:00"/>
    <s v="PM"/>
    <s v="00:13:52"/>
    <s v="00:00:54"/>
    <n v="75"/>
    <n v="32"/>
    <m/>
    <n v="26624.000000000004"/>
    <n v="832.00000000000011"/>
    <n v="54"/>
    <n v="0.75"/>
  </r>
  <r>
    <s v="Wednesday"/>
    <x v="4"/>
    <d v="2022-12-07T00:00:00"/>
    <d v="1899-12-30T04:00:00"/>
    <s v="PM"/>
    <s v="00:00:20"/>
    <n v="3"/>
    <n v="0"/>
    <n v="14"/>
    <n v="14"/>
    <m/>
    <s v="Wednesday"/>
    <d v="2022-12-07T00:00:00"/>
    <d v="1899-12-30T04:00:00"/>
    <s v="PM"/>
    <s v="00:17:55"/>
    <s v="00:00:19"/>
    <n v="78.571428571428569"/>
    <n v="14"/>
    <m/>
    <n v="15050"/>
    <n v="1075"/>
    <n v="19"/>
    <n v="0.7857142857142857"/>
  </r>
  <r>
    <s v="Thursday"/>
    <x v="5"/>
    <d v="2022-12-08T00:00:00"/>
    <d v="1899-12-30T08:00:00"/>
    <s v="AM"/>
    <s v="00:00:34"/>
    <n v="2"/>
    <n v="0"/>
    <n v="14"/>
    <n v="14"/>
    <m/>
    <s v="Thursday"/>
    <d v="2022-12-08T00:00:00"/>
    <d v="1899-12-30T08:00:00"/>
    <s v="AM"/>
    <s v="00:15:42"/>
    <s v="00:00:33"/>
    <n v="78.571428571428569"/>
    <n v="14"/>
    <m/>
    <n v="13187.999999999998"/>
    <n v="941.99999999999989"/>
    <n v="33"/>
    <n v="0.7857142857142857"/>
  </r>
  <r>
    <s v="Thursday"/>
    <x v="5"/>
    <d v="2022-12-08T00:00:00"/>
    <d v="1899-12-30T09:00:00"/>
    <s v="AM"/>
    <s v="00:03:16"/>
    <n v="5"/>
    <n v="1"/>
    <n v="27"/>
    <n v="28"/>
    <m/>
    <s v="Thursday"/>
    <d v="2022-12-08T00:00:00"/>
    <d v="1899-12-30T09:00:00"/>
    <s v="AM"/>
    <s v="00:18:42"/>
    <s v="00:03:15"/>
    <n v="44.444444444444443"/>
    <n v="27"/>
    <m/>
    <n v="31415.999999999993"/>
    <n v="1121.9999999999998"/>
    <n v="195.00000000000003"/>
    <n v="0.44444444444444442"/>
  </r>
  <r>
    <s v="Thursday"/>
    <x v="5"/>
    <d v="2022-12-08T00:00:00"/>
    <d v="1899-12-30T10:00:00"/>
    <s v="AM"/>
    <s v="00:01:16"/>
    <n v="3"/>
    <n v="0"/>
    <n v="27"/>
    <n v="27"/>
    <m/>
    <s v="Thursday"/>
    <d v="2022-12-08T00:00:00"/>
    <d v="1899-12-30T10:00:00"/>
    <s v="AM"/>
    <s v="00:16:11"/>
    <s v="00:01:15"/>
    <n v="70.370370370370367"/>
    <n v="27"/>
    <m/>
    <n v="26217.000000000004"/>
    <n v="971.00000000000011"/>
    <n v="75"/>
    <n v="0.70370370370370372"/>
  </r>
  <r>
    <s v="Thursday"/>
    <x v="5"/>
    <d v="2022-12-08T00:00:00"/>
    <d v="1899-12-30T11:00:00"/>
    <s v="AM"/>
    <s v="00:00:16"/>
    <n v="4"/>
    <n v="0"/>
    <n v="41"/>
    <n v="41"/>
    <m/>
    <s v="Thursday"/>
    <d v="2022-12-08T00:00:00"/>
    <d v="1899-12-30T11:00:00"/>
    <s v="AM"/>
    <s v="00:17:05"/>
    <s v="00:00:15"/>
    <n v="92.682926829268297"/>
    <n v="41"/>
    <m/>
    <n v="42025"/>
    <n v="1025"/>
    <n v="15"/>
    <n v="0.92682926829268297"/>
  </r>
  <r>
    <s v="Thursday"/>
    <x v="5"/>
    <d v="2022-12-08T00:00:00"/>
    <d v="1899-12-30T12:00:00"/>
    <s v="PM"/>
    <s v="00:00:14"/>
    <n v="0"/>
    <n v="0"/>
    <n v="21"/>
    <n v="21"/>
    <m/>
    <s v="Thursday"/>
    <d v="2022-12-08T00:00:00"/>
    <d v="1899-12-30T12:00:00"/>
    <s v="PM"/>
    <s v="00:13:42"/>
    <s v="00:00:13"/>
    <n v="95.238095238095227"/>
    <n v="21"/>
    <m/>
    <n v="17262"/>
    <n v="822"/>
    <n v="13.000000000000002"/>
    <n v="0.95238095238095222"/>
  </r>
  <r>
    <s v="Thursday"/>
    <x v="5"/>
    <d v="2022-12-08T00:00:00"/>
    <d v="1899-12-30T01:00:00"/>
    <s v="PM"/>
    <s v="00:00:21"/>
    <n v="2"/>
    <n v="0"/>
    <n v="36"/>
    <n v="36"/>
    <m/>
    <s v="Thursday"/>
    <d v="2022-12-08T00:00:00"/>
    <d v="1899-12-30T01:00:00"/>
    <s v="PM"/>
    <s v="00:16:10"/>
    <s v="00:00:20"/>
    <n v="88.888888888888886"/>
    <n v="36"/>
    <m/>
    <n v="34920.000000000007"/>
    <n v="970.00000000000023"/>
    <n v="20"/>
    <n v="0.88888888888888884"/>
  </r>
  <r>
    <s v="Thursday"/>
    <x v="5"/>
    <d v="2022-12-08T00:00:00"/>
    <d v="1899-12-30T02:00:00"/>
    <s v="PM"/>
    <s v="00:00:12"/>
    <n v="2"/>
    <n v="0"/>
    <n v="28"/>
    <n v="28"/>
    <m/>
    <s v="Thursday"/>
    <d v="2022-12-08T00:00:00"/>
    <d v="1899-12-30T02:00:00"/>
    <s v="PM"/>
    <s v="00:13:49"/>
    <s v="00:00:11"/>
    <n v="92.857142857142861"/>
    <n v="28"/>
    <m/>
    <n v="23212"/>
    <n v="829"/>
    <n v="10.999999999999998"/>
    <n v="0.9285714285714286"/>
  </r>
  <r>
    <s v="Thursday"/>
    <x v="5"/>
    <d v="2022-12-08T00:00:00"/>
    <d v="1899-12-30T03:00:00"/>
    <s v="PM"/>
    <s v="00:00:07"/>
    <n v="0"/>
    <n v="0"/>
    <n v="24"/>
    <n v="24"/>
    <m/>
    <s v="Thursday"/>
    <d v="2022-12-08T00:00:00"/>
    <d v="1899-12-30T03:00:00"/>
    <s v="PM"/>
    <s v="00:14:45"/>
    <s v="00:00:06"/>
    <n v="100"/>
    <n v="24"/>
    <m/>
    <n v="21240"/>
    <n v="885"/>
    <n v="6"/>
    <n v="1"/>
  </r>
  <r>
    <s v="Thursday"/>
    <x v="5"/>
    <d v="2022-12-08T00:00:00"/>
    <d v="1899-12-30T04:00:00"/>
    <s v="PM"/>
    <s v="00:00:23"/>
    <n v="5"/>
    <n v="0"/>
    <n v="23"/>
    <n v="23"/>
    <m/>
    <s v="Thursday"/>
    <d v="2022-12-08T00:00:00"/>
    <d v="1899-12-30T04:00:00"/>
    <s v="PM"/>
    <s v="00:18:00"/>
    <s v="00:00:22"/>
    <n v="78.260869565217391"/>
    <n v="23"/>
    <m/>
    <n v="24840"/>
    <n v="1080"/>
    <n v="21.999999999999996"/>
    <n v="0.78260869565217395"/>
  </r>
  <r>
    <s v="Friday"/>
    <x v="6"/>
    <d v="2022-12-09T00:00:00"/>
    <d v="1899-12-30T08:00:00"/>
    <s v="AM"/>
    <s v="00:00:11"/>
    <n v="1"/>
    <n v="0"/>
    <n v="20"/>
    <n v="20"/>
    <m/>
    <s v="Friday"/>
    <d v="2022-12-09T00:00:00"/>
    <d v="1899-12-30T08:00:00"/>
    <s v="AM"/>
    <s v="00:17:18"/>
    <s v="00:00:11"/>
    <n v="95"/>
    <n v="20"/>
    <m/>
    <n v="20760"/>
    <n v="1038"/>
    <n v="10.999999999999998"/>
    <n v="0.95"/>
  </r>
  <r>
    <s v="Friday"/>
    <x v="6"/>
    <d v="2022-12-09T00:00:00"/>
    <d v="1899-12-30T09:00:00"/>
    <s v="AM"/>
    <s v="00:00:09"/>
    <n v="1"/>
    <n v="0"/>
    <n v="33"/>
    <n v="33"/>
    <m/>
    <s v="Friday"/>
    <d v="2022-12-09T00:00:00"/>
    <d v="1899-12-30T09:00:00"/>
    <s v="AM"/>
    <s v="00:11:01"/>
    <s v="00:00:08"/>
    <n v="96.969696969696969"/>
    <n v="33"/>
    <m/>
    <n v="21813"/>
    <n v="661"/>
    <n v="8"/>
    <n v="0.96969696969696972"/>
  </r>
  <r>
    <s v="Friday"/>
    <x v="6"/>
    <d v="2022-12-09T00:00:00"/>
    <d v="1899-12-30T10:00:00"/>
    <s v="AM"/>
    <s v="00:00:13"/>
    <n v="4"/>
    <n v="0"/>
    <n v="32"/>
    <n v="33"/>
    <m/>
    <s v="Friday"/>
    <d v="2022-12-09T00:00:00"/>
    <d v="1899-12-30T10:00:00"/>
    <s v="AM"/>
    <s v="00:12:41"/>
    <s v="00:00:11"/>
    <n v="90.625"/>
    <n v="32"/>
    <m/>
    <n v="25113"/>
    <n v="761"/>
    <n v="10.999999999999998"/>
    <n v="0.90625"/>
  </r>
  <r>
    <s v="Friday"/>
    <x v="6"/>
    <d v="2022-12-09T00:00:00"/>
    <d v="1899-12-30T11:00:00"/>
    <s v="AM"/>
    <s v="00:00:15"/>
    <n v="7"/>
    <n v="0"/>
    <n v="36"/>
    <n v="36"/>
    <m/>
    <s v="Friday"/>
    <d v="2022-12-09T00:00:00"/>
    <d v="1899-12-30T11:00:00"/>
    <s v="AM"/>
    <s v="00:16:51"/>
    <s v="00:00:14"/>
    <n v="86.111111111111114"/>
    <n v="36"/>
    <m/>
    <n v="36396.000000000007"/>
    <n v="1011.0000000000002"/>
    <n v="14"/>
    <n v="0.86111111111111116"/>
  </r>
  <r>
    <s v="Friday"/>
    <x v="6"/>
    <d v="2022-12-09T00:00:00"/>
    <d v="1899-12-30T12:00:00"/>
    <s v="PM"/>
    <s v="00:00:33"/>
    <n v="1"/>
    <n v="0"/>
    <n v="36"/>
    <n v="36"/>
    <m/>
    <s v="Friday"/>
    <d v="2022-12-09T00:00:00"/>
    <d v="1899-12-30T12:00:00"/>
    <s v="PM"/>
    <s v="00:14:28"/>
    <s v="00:00:32"/>
    <n v="88.888888888888886"/>
    <n v="36"/>
    <m/>
    <n v="31248"/>
    <n v="868"/>
    <n v="32"/>
    <n v="0.88888888888888884"/>
  </r>
  <r>
    <s v="Friday"/>
    <x v="6"/>
    <d v="2022-12-09T00:00:00"/>
    <d v="1899-12-30T01:00:00"/>
    <s v="PM"/>
    <s v="00:00:23"/>
    <n v="5"/>
    <n v="0"/>
    <n v="37"/>
    <n v="37"/>
    <m/>
    <s v="Friday"/>
    <d v="2022-12-09T00:00:00"/>
    <d v="1899-12-30T01:00:00"/>
    <s v="PM"/>
    <s v="00:12:48"/>
    <s v="00:00:22"/>
    <n v="83.78378378378379"/>
    <n v="37"/>
    <m/>
    <n v="28416"/>
    <n v="768"/>
    <n v="21.999999999999996"/>
    <n v="0.83783783783783794"/>
  </r>
  <r>
    <s v="Friday"/>
    <x v="6"/>
    <d v="2022-12-09T00:00:00"/>
    <d v="1899-12-30T02:00:00"/>
    <s v="PM"/>
    <s v="00:00:12"/>
    <n v="3"/>
    <n v="0"/>
    <n v="25"/>
    <n v="25"/>
    <m/>
    <s v="Friday"/>
    <d v="2022-12-09T00:00:00"/>
    <d v="1899-12-30T02:00:00"/>
    <s v="PM"/>
    <s v="00:19:16"/>
    <s v="00:00:11"/>
    <n v="92"/>
    <n v="25"/>
    <m/>
    <n v="28900"/>
    <n v="1156"/>
    <n v="10.999999999999998"/>
    <n v="0.92"/>
  </r>
  <r>
    <s v="Friday"/>
    <x v="6"/>
    <d v="2022-12-09T00:00:00"/>
    <d v="1899-12-30T03:00:00"/>
    <s v="PM"/>
    <s v="00:00:10"/>
    <n v="3"/>
    <n v="0"/>
    <n v="29"/>
    <n v="29"/>
    <m/>
    <s v="Friday"/>
    <d v="2022-12-09T00:00:00"/>
    <d v="1899-12-30T03:00:00"/>
    <s v="PM"/>
    <s v="00:15:28"/>
    <s v="00:00:09"/>
    <n v="93.103448275862064"/>
    <n v="29"/>
    <m/>
    <n v="26911.999999999996"/>
    <n v="927.99999999999989"/>
    <n v="9"/>
    <n v="0.93103448275862066"/>
  </r>
  <r>
    <s v="Friday"/>
    <x v="6"/>
    <d v="2022-12-09T00:00:00"/>
    <d v="1899-12-30T04:00:00"/>
    <s v="PM"/>
    <s v="00:00:09"/>
    <n v="2"/>
    <n v="0"/>
    <n v="23"/>
    <n v="23"/>
    <m/>
    <s v="Friday"/>
    <d v="2022-12-09T00:00:00"/>
    <d v="1899-12-30T04:00:00"/>
    <s v="PM"/>
    <s v="00:14:05"/>
    <s v="00:00:08"/>
    <n v="100"/>
    <n v="23"/>
    <m/>
    <n v="19435"/>
    <n v="845"/>
    <n v="8"/>
    <n v="1"/>
  </r>
  <r>
    <s v="Monday"/>
    <x v="7"/>
    <d v="2022-12-12T00:00:00"/>
    <d v="1899-12-30T08:00:00"/>
    <s v="AM"/>
    <s v="00:00:12"/>
    <n v="2"/>
    <n v="0"/>
    <n v="16"/>
    <n v="16"/>
    <m/>
    <s v="Monday"/>
    <d v="2022-12-12T00:00:00"/>
    <d v="1899-12-30T08:00:00"/>
    <s v="AM"/>
    <s v="00:14:18"/>
    <s v="00:00:11"/>
    <n v="93.75"/>
    <n v="16"/>
    <m/>
    <n v="13728"/>
    <n v="858"/>
    <n v="10.999999999999998"/>
    <n v="0.9375"/>
  </r>
  <r>
    <s v="Monday"/>
    <x v="7"/>
    <d v="2022-12-12T00:00:00"/>
    <d v="1899-12-30T09:00:00"/>
    <s v="AM"/>
    <s v="00:00:15"/>
    <n v="4"/>
    <n v="0"/>
    <n v="34"/>
    <n v="34"/>
    <m/>
    <s v="Monday"/>
    <d v="2022-12-12T00:00:00"/>
    <d v="1899-12-30T09:00:00"/>
    <s v="AM"/>
    <s v="00:15:47"/>
    <s v="00:00:14"/>
    <n v="88.235294117647058"/>
    <n v="34"/>
    <m/>
    <n v="32198"/>
    <n v="947"/>
    <n v="14"/>
    <n v="0.88235294117647056"/>
  </r>
  <r>
    <s v="Monday"/>
    <x v="7"/>
    <d v="2022-12-12T00:00:00"/>
    <d v="1899-12-30T10:00:00"/>
    <s v="AM"/>
    <s v="00:00:16"/>
    <n v="4"/>
    <n v="0"/>
    <n v="37"/>
    <n v="37"/>
    <m/>
    <s v="Monday"/>
    <d v="2022-12-12T00:00:00"/>
    <d v="1899-12-30T10:00:00"/>
    <s v="AM"/>
    <s v="00:13:47"/>
    <s v="00:00:15"/>
    <n v="89.189189189189193"/>
    <n v="37"/>
    <m/>
    <n v="30599"/>
    <n v="827"/>
    <n v="15"/>
    <n v="0.89189189189189189"/>
  </r>
  <r>
    <s v="Monday"/>
    <x v="7"/>
    <d v="2022-12-12T00:00:00"/>
    <d v="1899-12-30T11:00:00"/>
    <s v="AM"/>
    <s v="00:00:38"/>
    <n v="14"/>
    <n v="1"/>
    <n v="31"/>
    <n v="32"/>
    <m/>
    <s v="Monday"/>
    <d v="2022-12-12T00:00:00"/>
    <d v="1899-12-30T11:00:00"/>
    <s v="AM"/>
    <s v="00:13:38"/>
    <s v="00:00:37"/>
    <n v="54.838709677419352"/>
    <n v="31"/>
    <m/>
    <n v="26175.999999999996"/>
    <n v="817.99999999999989"/>
    <n v="37"/>
    <n v="0.54838709677419351"/>
  </r>
  <r>
    <s v="Monday"/>
    <x v="7"/>
    <d v="2022-12-12T00:00:00"/>
    <d v="1899-12-30T12:00:00"/>
    <s v="PM"/>
    <s v="00:02:07"/>
    <n v="10"/>
    <n v="0"/>
    <n v="38"/>
    <n v="38"/>
    <m/>
    <s v="Monday"/>
    <d v="2022-12-12T00:00:00"/>
    <d v="1899-12-30T12:00:00"/>
    <s v="PM"/>
    <s v="00:15:55"/>
    <s v="00:02:06"/>
    <n v="55.26315789473685"/>
    <n v="38"/>
    <m/>
    <n v="36290"/>
    <n v="955"/>
    <n v="126"/>
    <n v="0.55263157894736847"/>
  </r>
  <r>
    <s v="Monday"/>
    <x v="7"/>
    <d v="2022-12-12T00:00:00"/>
    <d v="1899-12-30T01:00:00"/>
    <s v="PM"/>
    <s v="00:07:49"/>
    <n v="7"/>
    <n v="2"/>
    <n v="43"/>
    <n v="45"/>
    <m/>
    <s v="Monday"/>
    <d v="2022-12-12T00:00:00"/>
    <d v="1899-12-30T01:00:00"/>
    <s v="PM"/>
    <s v="00:12:36"/>
    <s v="00:07:48"/>
    <n v="16.279069767441861"/>
    <n v="43"/>
    <m/>
    <n v="34019.999999999993"/>
    <n v="755.99999999999989"/>
    <n v="468"/>
    <n v="0.16279069767441862"/>
  </r>
  <r>
    <s v="Monday"/>
    <x v="7"/>
    <d v="2022-12-12T00:00:00"/>
    <d v="1899-12-30T02:00:00"/>
    <s v="PM"/>
    <s v="00:00:32"/>
    <n v="1"/>
    <n v="0"/>
    <n v="43"/>
    <n v="43"/>
    <m/>
    <s v="Monday"/>
    <d v="2022-12-12T00:00:00"/>
    <d v="1899-12-30T02:00:00"/>
    <s v="PM"/>
    <s v="00:18:16"/>
    <s v="00:00:31"/>
    <n v="76.744186046511629"/>
    <n v="43"/>
    <m/>
    <n v="47127.999999999993"/>
    <n v="1095.9999999999998"/>
    <n v="31.000000000000004"/>
    <n v="0.76744186046511631"/>
  </r>
  <r>
    <s v="Monday"/>
    <x v="7"/>
    <d v="2022-12-12T00:00:00"/>
    <d v="1899-12-30T03:00:00"/>
    <s v="PM"/>
    <s v="00:00:38"/>
    <n v="5"/>
    <n v="0"/>
    <n v="35"/>
    <n v="35"/>
    <m/>
    <s v="Monday"/>
    <d v="2022-12-12T00:00:00"/>
    <d v="1899-12-30T03:00:00"/>
    <s v="PM"/>
    <s v="00:15:56"/>
    <s v="00:00:37"/>
    <n v="80"/>
    <n v="35"/>
    <m/>
    <n v="33459.999999999993"/>
    <n v="955.99999999999989"/>
    <n v="37"/>
    <n v="0.8"/>
  </r>
  <r>
    <s v="Monday"/>
    <x v="7"/>
    <d v="2022-12-12T00:00:00"/>
    <d v="1899-12-30T04:00:00"/>
    <s v="PM"/>
    <s v="00:00:14"/>
    <n v="2"/>
    <n v="0"/>
    <n v="23"/>
    <n v="23"/>
    <m/>
    <s v="Monday"/>
    <d v="2022-12-12T00:00:00"/>
    <d v="1899-12-30T04:00:00"/>
    <s v="PM"/>
    <s v="00:11:07"/>
    <s v="00:00:13"/>
    <n v="91.304347826086953"/>
    <n v="23"/>
    <m/>
    <n v="15341"/>
    <n v="667"/>
    <n v="13.000000000000002"/>
    <n v="0.91304347826086951"/>
  </r>
  <r>
    <s v="Monday"/>
    <x v="7"/>
    <d v="2022-12-12T00:00:00"/>
    <d v="1899-12-30T05:00:00"/>
    <s v="PM"/>
    <s v="00:00:05"/>
    <n v="0"/>
    <n v="0"/>
    <n v="1"/>
    <n v="1"/>
    <m/>
    <s v="Monday"/>
    <d v="2022-12-12T00:00:00"/>
    <d v="1899-12-30T05:00:00"/>
    <s v="PM"/>
    <s v="00:22:00"/>
    <s v="00:00:05"/>
    <n v="100"/>
    <n v="1"/>
    <m/>
    <n v="1320"/>
    <n v="1320"/>
    <n v="5"/>
    <n v="1"/>
  </r>
  <r>
    <s v="Tuesday"/>
    <x v="8"/>
    <d v="2022-12-13T00:00:00"/>
    <d v="1899-12-30T08:00:00"/>
    <s v="AM"/>
    <s v="00:00:22"/>
    <n v="2"/>
    <n v="0"/>
    <n v="10"/>
    <n v="10"/>
    <m/>
    <s v="Tuesday"/>
    <d v="2022-12-13T00:00:00"/>
    <d v="1899-12-30T08:00:00"/>
    <s v="AM"/>
    <s v="00:10:54"/>
    <s v="00:00:21"/>
    <n v="80"/>
    <n v="10"/>
    <m/>
    <n v="6540"/>
    <n v="654"/>
    <n v="20.999999999999996"/>
    <n v="0.8"/>
  </r>
  <r>
    <s v="Tuesday"/>
    <x v="8"/>
    <d v="2022-12-13T00:00:00"/>
    <d v="1899-12-30T09:00:00"/>
    <s v="AM"/>
    <s v="00:00:22"/>
    <n v="4"/>
    <n v="0"/>
    <n v="20"/>
    <n v="20"/>
    <m/>
    <s v="Tuesday"/>
    <d v="2022-12-13T00:00:00"/>
    <d v="1899-12-30T09:00:00"/>
    <s v="AM"/>
    <s v="00:13:33"/>
    <s v="00:00:21"/>
    <n v="85"/>
    <n v="20"/>
    <m/>
    <n v="16260.000000000002"/>
    <n v="813.00000000000011"/>
    <n v="20.999999999999996"/>
    <n v="0.85"/>
  </r>
  <r>
    <s v="Tuesday"/>
    <x v="8"/>
    <d v="2022-12-13T00:00:00"/>
    <d v="1899-12-30T10:00:00"/>
    <s v="AM"/>
    <s v="00:00:14"/>
    <n v="2"/>
    <n v="0"/>
    <n v="30"/>
    <n v="30"/>
    <m/>
    <s v="Tuesday"/>
    <d v="2022-12-13T00:00:00"/>
    <d v="1899-12-30T10:00:00"/>
    <s v="AM"/>
    <s v="00:12:22"/>
    <s v="00:00:13"/>
    <n v="93.333333333333329"/>
    <n v="30"/>
    <m/>
    <n v="22259.999999999996"/>
    <n v="741.99999999999989"/>
    <n v="13.000000000000002"/>
    <n v="0.93333333333333324"/>
  </r>
  <r>
    <s v="Tuesday"/>
    <x v="8"/>
    <d v="2022-12-13T00:00:00"/>
    <d v="1899-12-30T11:00:00"/>
    <s v="AM"/>
    <s v="00:00:09"/>
    <n v="1"/>
    <n v="0"/>
    <n v="26"/>
    <n v="26"/>
    <m/>
    <s v="Tuesday"/>
    <d v="2022-12-13T00:00:00"/>
    <d v="1899-12-30T11:00:00"/>
    <s v="AM"/>
    <s v="00:16:36"/>
    <s v="00:00:08"/>
    <n v="96.15384615384616"/>
    <n v="26"/>
    <m/>
    <n v="25896"/>
    <n v="996"/>
    <n v="8"/>
    <n v="0.96153846153846156"/>
  </r>
  <r>
    <s v="Tuesday"/>
    <x v="8"/>
    <d v="2022-12-13T00:00:00"/>
    <d v="1899-12-30T12:00:00"/>
    <s v="PM"/>
    <s v="00:00:09"/>
    <n v="1"/>
    <n v="0"/>
    <n v="42"/>
    <n v="42"/>
    <m/>
    <s v="Tuesday"/>
    <d v="2022-12-13T00:00:00"/>
    <d v="1899-12-30T12:00:00"/>
    <s v="PM"/>
    <s v="00:15:52"/>
    <s v="00:00:08"/>
    <n v="97.61904761904762"/>
    <n v="42"/>
    <m/>
    <n v="39983.999999999993"/>
    <n v="951.99999999999989"/>
    <n v="8"/>
    <n v="0.97619047619047616"/>
  </r>
  <r>
    <s v="Tuesday"/>
    <x v="8"/>
    <d v="2022-12-13T00:00:00"/>
    <d v="1899-12-30T01:00:00"/>
    <s v="PM"/>
    <s v="00:00:14"/>
    <n v="2"/>
    <n v="0"/>
    <n v="23"/>
    <n v="23"/>
    <m/>
    <s v="Tuesday"/>
    <d v="2022-12-13T00:00:00"/>
    <d v="1899-12-30T01:00:00"/>
    <s v="PM"/>
    <s v="00:17:00"/>
    <s v="00:00:13"/>
    <n v="91.304347826086953"/>
    <n v="23"/>
    <m/>
    <n v="23460"/>
    <n v="1020"/>
    <n v="13.000000000000002"/>
    <n v="0.91304347826086951"/>
  </r>
  <r>
    <s v="Tuesday"/>
    <x v="8"/>
    <d v="2022-12-13T00:00:00"/>
    <d v="1899-12-30T02:00:00"/>
    <s v="PM"/>
    <s v="00:00:15"/>
    <n v="3"/>
    <n v="0"/>
    <n v="18"/>
    <n v="18"/>
    <m/>
    <s v="Tuesday"/>
    <d v="2022-12-13T00:00:00"/>
    <d v="1899-12-30T02:00:00"/>
    <s v="PM"/>
    <s v="00:13:43"/>
    <s v="00:00:14"/>
    <n v="88.888888888888886"/>
    <n v="18"/>
    <m/>
    <n v="14814"/>
    <n v="823"/>
    <n v="14"/>
    <n v="0.88888888888888884"/>
  </r>
  <r>
    <s v="Tuesday"/>
    <x v="8"/>
    <d v="2022-12-13T00:00:00"/>
    <d v="1899-12-30T03:00:00"/>
    <s v="PM"/>
    <s v="00:00:07"/>
    <n v="1"/>
    <n v="0"/>
    <n v="19"/>
    <n v="19"/>
    <m/>
    <s v="Tuesday"/>
    <d v="2022-12-13T00:00:00"/>
    <d v="1899-12-30T03:00:00"/>
    <s v="PM"/>
    <s v="00:20:47"/>
    <s v="00:00:06"/>
    <n v="100"/>
    <n v="19"/>
    <m/>
    <n v="23693.000000000004"/>
    <n v="1247.0000000000002"/>
    <n v="6"/>
    <n v="1"/>
  </r>
  <r>
    <s v="Tuesday"/>
    <x v="8"/>
    <d v="2022-12-13T00:00:00"/>
    <d v="1899-12-30T04:00:00"/>
    <s v="PM"/>
    <s v="00:02:54"/>
    <n v="2"/>
    <n v="0"/>
    <n v="20"/>
    <n v="20"/>
    <m/>
    <s v="Tuesday"/>
    <d v="2022-12-13T00:00:00"/>
    <d v="1899-12-30T04:00:00"/>
    <s v="PM"/>
    <s v="00:16:39"/>
    <s v="00:02:53"/>
    <n v="75"/>
    <n v="20"/>
    <m/>
    <n v="19979.999999999996"/>
    <n v="998.99999999999989"/>
    <n v="173"/>
    <n v="0.75"/>
  </r>
  <r>
    <s v="Wednesday"/>
    <x v="9"/>
    <d v="2022-12-14T00:00:00"/>
    <d v="1899-12-30T08:00:00"/>
    <s v="AM"/>
    <s v="00:00:54"/>
    <n v="0"/>
    <n v="0"/>
    <n v="20"/>
    <n v="20"/>
    <m/>
    <s v="Wednesday"/>
    <d v="2022-12-14T00:00:00"/>
    <d v="1899-12-30T08:00:00"/>
    <s v="AM"/>
    <s v="00:15:06"/>
    <s v="00:00:53"/>
    <n v="70"/>
    <n v="20"/>
    <m/>
    <n v="18120"/>
    <n v="906"/>
    <n v="53"/>
    <n v="0.7"/>
  </r>
  <r>
    <s v="Wednesday"/>
    <x v="9"/>
    <d v="2022-12-14T00:00:00"/>
    <d v="1899-12-30T09:00:00"/>
    <s v="AM"/>
    <s v="00:00:10"/>
    <n v="3"/>
    <n v="0"/>
    <n v="19"/>
    <n v="19"/>
    <m/>
    <s v="Wednesday"/>
    <d v="2022-12-14T00:00:00"/>
    <d v="1899-12-30T09:00:00"/>
    <s v="AM"/>
    <s v="00:16:34"/>
    <s v="00:00:09"/>
    <n v="94.73684210526315"/>
    <n v="19"/>
    <m/>
    <n v="18885.999999999996"/>
    <n v="993.99999999999989"/>
    <n v="9"/>
    <n v="0.94736842105263153"/>
  </r>
  <r>
    <s v="Wednesday"/>
    <x v="9"/>
    <d v="2022-12-14T00:00:00"/>
    <d v="1899-12-30T10:00:00"/>
    <s v="AM"/>
    <s v="00:00:11"/>
    <n v="2"/>
    <n v="0"/>
    <n v="36"/>
    <n v="36"/>
    <m/>
    <s v="Wednesday"/>
    <d v="2022-12-14T00:00:00"/>
    <d v="1899-12-30T10:00:00"/>
    <s v="AM"/>
    <s v="00:15:30"/>
    <s v="00:00:10"/>
    <n v="94.444444444444443"/>
    <n v="36"/>
    <m/>
    <n v="33480.000000000007"/>
    <n v="930.00000000000011"/>
    <n v="10"/>
    <n v="0.94444444444444442"/>
  </r>
  <r>
    <s v="Wednesday"/>
    <x v="9"/>
    <d v="2022-12-14T00:00:00"/>
    <d v="1899-12-30T11:00:00"/>
    <s v="AM"/>
    <s v="00:00:12"/>
    <n v="2"/>
    <n v="0"/>
    <n v="31"/>
    <n v="31"/>
    <m/>
    <s v="Wednesday"/>
    <d v="2022-12-14T00:00:00"/>
    <d v="1899-12-30T11:00:00"/>
    <s v="AM"/>
    <s v="00:14:34"/>
    <s v="00:00:11"/>
    <n v="93.548387096774192"/>
    <n v="31"/>
    <m/>
    <n v="27094"/>
    <n v="874"/>
    <n v="10.999999999999998"/>
    <n v="0.93548387096774188"/>
  </r>
  <r>
    <s v="Wednesday"/>
    <x v="9"/>
    <d v="2022-12-14T00:00:00"/>
    <d v="1899-12-30T12:00:00"/>
    <s v="PM"/>
    <s v="00:00:11"/>
    <n v="4"/>
    <n v="0"/>
    <n v="41"/>
    <n v="41"/>
    <m/>
    <s v="Wednesday"/>
    <d v="2022-12-14T00:00:00"/>
    <d v="1899-12-30T12:00:00"/>
    <s v="PM"/>
    <s v="00:16:16"/>
    <s v="00:00:10"/>
    <n v="92.682926829268297"/>
    <n v="41"/>
    <m/>
    <n v="40015.999999999993"/>
    <n v="975.99999999999989"/>
    <n v="10"/>
    <n v="0.92682926829268297"/>
  </r>
  <r>
    <s v="Wednesday"/>
    <x v="9"/>
    <d v="2022-12-14T00:00:00"/>
    <d v="1899-12-30T01:00:00"/>
    <s v="PM"/>
    <s v="00:00:16"/>
    <n v="5"/>
    <n v="0"/>
    <n v="39"/>
    <n v="39"/>
    <m/>
    <s v="Wednesday"/>
    <d v="2022-12-14T00:00:00"/>
    <d v="1899-12-30T01:00:00"/>
    <s v="PM"/>
    <s v="00:13:24"/>
    <s v="00:00:15"/>
    <n v="87.179487179487182"/>
    <n v="39"/>
    <m/>
    <n v="31355.999999999996"/>
    <n v="803.99999999999989"/>
    <n v="15"/>
    <n v="0.87179487179487181"/>
  </r>
  <r>
    <s v="Wednesday"/>
    <x v="9"/>
    <d v="2022-12-14T00:00:00"/>
    <d v="1899-12-30T02:00:00"/>
    <s v="PM"/>
    <s v="00:00:12"/>
    <n v="2"/>
    <n v="0"/>
    <n v="31"/>
    <n v="31"/>
    <m/>
    <s v="Wednesday"/>
    <d v="2022-12-14T00:00:00"/>
    <d v="1899-12-30T02:00:00"/>
    <s v="PM"/>
    <s v="00:14:15"/>
    <s v="00:00:11"/>
    <n v="93.548387096774192"/>
    <n v="31"/>
    <m/>
    <n v="26505"/>
    <n v="855"/>
    <n v="10.999999999999998"/>
    <n v="0.93548387096774188"/>
  </r>
  <r>
    <s v="Wednesday"/>
    <x v="9"/>
    <d v="2022-12-14T00:00:00"/>
    <d v="1899-12-30T03:00:00"/>
    <s v="PM"/>
    <s v="00:00:09"/>
    <n v="1"/>
    <n v="0"/>
    <n v="31"/>
    <n v="31"/>
    <m/>
    <s v="Wednesday"/>
    <d v="2022-12-14T00:00:00"/>
    <d v="1899-12-30T03:00:00"/>
    <s v="PM"/>
    <s v="00:13:03"/>
    <s v="00:00:08"/>
    <n v="96.774193548387103"/>
    <n v="31"/>
    <m/>
    <n v="24273"/>
    <n v="783"/>
    <n v="8"/>
    <n v="0.967741935483871"/>
  </r>
  <r>
    <s v="Wednesday"/>
    <x v="9"/>
    <d v="2022-12-14T00:00:00"/>
    <d v="1899-12-30T04:00:00"/>
    <s v="PM"/>
    <s v="00:00:10"/>
    <n v="1"/>
    <n v="0"/>
    <n v="18"/>
    <n v="18"/>
    <m/>
    <s v="Wednesday"/>
    <d v="2022-12-14T00:00:00"/>
    <d v="1899-12-30T04:00:00"/>
    <s v="PM"/>
    <s v="00:16:46"/>
    <s v="00:00:09"/>
    <n v="94.444444444444443"/>
    <n v="18"/>
    <m/>
    <n v="18108"/>
    <n v="1006"/>
    <n v="9"/>
    <n v="0.94444444444444442"/>
  </r>
  <r>
    <s v="Wednesday"/>
    <x v="9"/>
    <d v="2022-12-14T00:00:00"/>
    <d v="1899-12-30T05:00:00"/>
    <s v="PM"/>
    <s v="00:00:05"/>
    <n v="0"/>
    <n v="0"/>
    <n v="1"/>
    <n v="1"/>
    <m/>
    <s v="Wednesday"/>
    <d v="2022-12-14T00:00:00"/>
    <d v="1899-12-30T05:00:00"/>
    <s v="PM"/>
    <s v="00:09:00"/>
    <s v="00:00:05"/>
    <n v="100"/>
    <n v="1"/>
    <m/>
    <n v="540"/>
    <n v="540"/>
    <n v="5"/>
    <n v="1"/>
  </r>
  <r>
    <s v="Thursday"/>
    <x v="10"/>
    <d v="2022-12-15T00:00:00"/>
    <d v="1899-12-30T08:00:00"/>
    <s v="AM"/>
    <s v="00:00:33"/>
    <n v="4"/>
    <n v="1"/>
    <n v="17"/>
    <n v="19"/>
    <m/>
    <s v="Thursday"/>
    <d v="2022-12-15T00:00:00"/>
    <d v="1899-12-30T08:00:00"/>
    <s v="AM"/>
    <s v="00:09:45"/>
    <s v="00:00:33"/>
    <n v="76.470588235294116"/>
    <n v="17"/>
    <m/>
    <n v="11115"/>
    <n v="585"/>
    <n v="33"/>
    <n v="0.76470588235294112"/>
  </r>
  <r>
    <s v="Thursday"/>
    <x v="10"/>
    <d v="2022-12-15T00:00:00"/>
    <d v="1899-12-30T09:00:00"/>
    <s v="AM"/>
    <s v="00:01:26"/>
    <n v="3"/>
    <n v="0"/>
    <n v="27"/>
    <n v="27"/>
    <m/>
    <s v="Thursday"/>
    <d v="2022-12-15T00:00:00"/>
    <d v="1899-12-30T09:00:00"/>
    <s v="AM"/>
    <s v="00:11:13"/>
    <s v="00:01:26"/>
    <n v="74.074074074074076"/>
    <n v="27"/>
    <m/>
    <n v="18171"/>
    <n v="673"/>
    <n v="86"/>
    <n v="0.74074074074074081"/>
  </r>
  <r>
    <s v="Thursday"/>
    <x v="10"/>
    <d v="2022-12-15T00:00:00"/>
    <d v="1899-12-30T10:00:00"/>
    <s v="AM"/>
    <s v="00:01:58"/>
    <n v="6"/>
    <n v="0"/>
    <n v="30"/>
    <n v="30"/>
    <m/>
    <s v="Thursday"/>
    <d v="2022-12-15T00:00:00"/>
    <d v="1899-12-30T10:00:00"/>
    <s v="AM"/>
    <s v="00:16:42"/>
    <s v="00:01:57"/>
    <n v="56.666666666666664"/>
    <n v="30"/>
    <m/>
    <n v="30060"/>
    <n v="1002"/>
    <n v="117"/>
    <n v="0.56666666666666665"/>
  </r>
  <r>
    <s v="Thursday"/>
    <x v="10"/>
    <d v="2022-12-15T00:00:00"/>
    <d v="1899-12-30T11:00:00"/>
    <s v="AM"/>
    <s v="00:00:21"/>
    <n v="4"/>
    <n v="0"/>
    <n v="30"/>
    <n v="30"/>
    <m/>
    <s v="Thursday"/>
    <d v="2022-12-15T00:00:00"/>
    <d v="1899-12-30T11:00:00"/>
    <s v="AM"/>
    <s v="00:16:48"/>
    <s v="00:00:20"/>
    <n v="83.333333333333343"/>
    <n v="30"/>
    <m/>
    <n v="30240"/>
    <n v="1008"/>
    <n v="20"/>
    <n v="0.83333333333333348"/>
  </r>
  <r>
    <s v="Thursday"/>
    <x v="10"/>
    <d v="2022-12-15T00:00:00"/>
    <d v="1899-12-30T12:00:00"/>
    <s v="PM"/>
    <s v="00:00:12"/>
    <n v="3"/>
    <n v="0"/>
    <n v="52"/>
    <n v="52"/>
    <m/>
    <s v="Thursday"/>
    <d v="2022-12-15T00:00:00"/>
    <d v="1899-12-30T12:00:00"/>
    <s v="PM"/>
    <s v="00:12:01"/>
    <s v="00:00:11"/>
    <n v="92.307692307692307"/>
    <n v="52"/>
    <m/>
    <n v="37492.000000000007"/>
    <n v="721.00000000000011"/>
    <n v="10.999999999999998"/>
    <n v="0.92307692307692302"/>
  </r>
  <r>
    <s v="Thursday"/>
    <x v="10"/>
    <d v="2022-12-15T00:00:00"/>
    <d v="1899-12-30T01:00:00"/>
    <s v="PM"/>
    <s v="00:00:14"/>
    <n v="4"/>
    <n v="0"/>
    <n v="38"/>
    <n v="38"/>
    <m/>
    <s v="Thursday"/>
    <d v="2022-12-15T00:00:00"/>
    <d v="1899-12-30T01:00:00"/>
    <s v="PM"/>
    <s v="00:46:03"/>
    <s v="00:00:13"/>
    <n v="94.73684210526315"/>
    <n v="38"/>
    <m/>
    <n v="104993.99999999999"/>
    <n v="2762.9999999999995"/>
    <n v="13.000000000000002"/>
    <n v="0.94736842105263153"/>
  </r>
  <r>
    <s v="Thursday"/>
    <x v="10"/>
    <d v="2022-12-15T00:00:00"/>
    <d v="1899-12-30T02:00:00"/>
    <s v="PM"/>
    <s v="00:02:42"/>
    <n v="2"/>
    <n v="0"/>
    <n v="35"/>
    <n v="35"/>
    <m/>
    <s v="Thursday"/>
    <d v="2022-12-15T00:00:00"/>
    <d v="1899-12-30T02:00:00"/>
    <s v="PM"/>
    <s v="00:15:53"/>
    <s v="00:02:41"/>
    <n v="65.714285714285708"/>
    <n v="35"/>
    <m/>
    <n v="33354.999999999993"/>
    <n v="952.99999999999989"/>
    <n v="161.00000000000003"/>
    <n v="0.65714285714285703"/>
  </r>
  <r>
    <s v="Thursday"/>
    <x v="10"/>
    <d v="2022-12-15T00:00:00"/>
    <d v="1899-12-30T03:00:00"/>
    <s v="PM"/>
    <s v="00:10:43"/>
    <n v="3"/>
    <n v="8"/>
    <n v="18"/>
    <n v="26"/>
    <m/>
    <s v="Thursday"/>
    <d v="2022-12-15T00:00:00"/>
    <d v="1899-12-30T03:00:00"/>
    <s v="PM"/>
    <s v="00:10:46"/>
    <s v="00:10:42"/>
    <n v="22.222222222222221"/>
    <n v="18"/>
    <m/>
    <n v="16796.000000000004"/>
    <n v="646.00000000000011"/>
    <n v="641.99999999999989"/>
    <n v="0.22222222222222221"/>
  </r>
  <r>
    <s v="Thursday"/>
    <x v="10"/>
    <d v="2022-12-15T00:00:00"/>
    <d v="1899-12-30T04:00:00"/>
    <s v="PM"/>
    <s v="00:13:45"/>
    <n v="0"/>
    <n v="14"/>
    <n v="13"/>
    <n v="27"/>
    <m/>
    <s v="Thursday"/>
    <d v="2022-12-15T00:00:00"/>
    <d v="1899-12-30T04:00:00"/>
    <s v="PM"/>
    <s v="00:21:18"/>
    <s v="00:13:44"/>
    <n v="23.076923076923077"/>
    <n v="13"/>
    <m/>
    <n v="34506.000000000007"/>
    <n v="1278.0000000000002"/>
    <n v="824"/>
    <n v="0.23076923076923075"/>
  </r>
  <r>
    <s v="Friday"/>
    <x v="11"/>
    <d v="2022-12-16T00:00:00"/>
    <d v="1899-12-30T08:00:00"/>
    <s v="AM"/>
    <s v="00:00:11"/>
    <n v="1"/>
    <n v="0"/>
    <n v="14"/>
    <n v="14"/>
    <m/>
    <s v="Friday"/>
    <d v="2022-12-16T00:00:00"/>
    <d v="1899-12-30T08:00:00"/>
    <s v="AM"/>
    <s v="00:14:12"/>
    <s v="00:00:11"/>
    <n v="92.857142857142861"/>
    <n v="14"/>
    <m/>
    <n v="11927.999999999998"/>
    <n v="851.99999999999989"/>
    <n v="10.999999999999998"/>
    <n v="0.9285714285714286"/>
  </r>
  <r>
    <s v="Friday"/>
    <x v="11"/>
    <d v="2022-12-16T00:00:00"/>
    <d v="1899-12-30T09:00:00"/>
    <s v="AM"/>
    <s v="00:00:10"/>
    <n v="0"/>
    <n v="0"/>
    <n v="20"/>
    <n v="20"/>
    <m/>
    <s v="Friday"/>
    <d v="2022-12-16T00:00:00"/>
    <d v="1899-12-30T09:00:00"/>
    <s v="AM"/>
    <s v="00:16:30"/>
    <s v="00:00:09"/>
    <n v="100"/>
    <n v="20"/>
    <m/>
    <n v="19800.000000000004"/>
    <n v="990.00000000000011"/>
    <n v="9"/>
    <n v="1"/>
  </r>
  <r>
    <s v="Friday"/>
    <x v="11"/>
    <d v="2022-12-16T00:00:00"/>
    <d v="1899-12-30T10:00:00"/>
    <s v="AM"/>
    <s v="00:02:29"/>
    <n v="3"/>
    <n v="2"/>
    <n v="33"/>
    <n v="35"/>
    <m/>
    <s v="Friday"/>
    <d v="2022-12-16T00:00:00"/>
    <d v="1899-12-30T10:00:00"/>
    <s v="AM"/>
    <s v="00:15:09"/>
    <s v="00:02:28"/>
    <n v="48.484848484848484"/>
    <n v="33"/>
    <m/>
    <n v="31815"/>
    <n v="909"/>
    <n v="148"/>
    <n v="0.48484848484848486"/>
  </r>
  <r>
    <s v="Friday"/>
    <x v="11"/>
    <d v="2022-12-16T00:00:00"/>
    <d v="1899-12-30T11:00:00"/>
    <s v="AM"/>
    <s v="00:00:22"/>
    <n v="1"/>
    <n v="0"/>
    <n v="29"/>
    <n v="29"/>
    <m/>
    <s v="Friday"/>
    <d v="2022-12-16T00:00:00"/>
    <d v="1899-12-30T11:00:00"/>
    <s v="AM"/>
    <s v="00:15:12"/>
    <s v="00:00:21"/>
    <n v="89.65517241379311"/>
    <n v="29"/>
    <m/>
    <n v="26447.999999999996"/>
    <n v="911.99999999999989"/>
    <n v="20.999999999999996"/>
    <n v="0.89655172413793105"/>
  </r>
  <r>
    <s v="Friday"/>
    <x v="11"/>
    <d v="2022-12-16T00:00:00"/>
    <d v="1899-12-30T12:00:00"/>
    <s v="PM"/>
    <s v="00:00:11"/>
    <n v="3"/>
    <n v="0"/>
    <n v="42"/>
    <n v="42"/>
    <m/>
    <s v="Friday"/>
    <d v="2022-12-16T00:00:00"/>
    <d v="1899-12-30T12:00:00"/>
    <s v="PM"/>
    <s v="00:13:42"/>
    <s v="00:00:10"/>
    <n v="95.238095238095227"/>
    <n v="42"/>
    <m/>
    <n v="34524"/>
    <n v="822"/>
    <n v="10"/>
    <n v="0.95238095238095222"/>
  </r>
  <r>
    <s v="Friday"/>
    <x v="11"/>
    <d v="2022-12-16T00:00:00"/>
    <d v="1899-12-30T01:00:00"/>
    <s v="PM"/>
    <s v="00:00:12"/>
    <n v="2"/>
    <n v="0"/>
    <n v="43"/>
    <n v="43"/>
    <m/>
    <s v="Friday"/>
    <d v="2022-12-16T00:00:00"/>
    <d v="1899-12-30T01:00:00"/>
    <s v="PM"/>
    <s v="00:12:32"/>
    <s v="00:00:11"/>
    <n v="93.023255813953483"/>
    <n v="43"/>
    <m/>
    <n v="32336"/>
    <n v="752"/>
    <n v="10.999999999999998"/>
    <n v="0.93023255813953487"/>
  </r>
  <r>
    <s v="Friday"/>
    <x v="11"/>
    <d v="2022-12-16T00:00:00"/>
    <d v="1899-12-30T02:00:00"/>
    <s v="PM"/>
    <s v="00:00:17"/>
    <n v="4"/>
    <n v="0"/>
    <n v="28"/>
    <n v="28"/>
    <m/>
    <s v="Friday"/>
    <d v="2022-12-16T00:00:00"/>
    <d v="1899-12-30T02:00:00"/>
    <s v="PM"/>
    <s v="00:12:47"/>
    <s v="00:00:16"/>
    <n v="85.714285714285708"/>
    <n v="28"/>
    <m/>
    <n v="21476"/>
    <n v="767"/>
    <n v="16"/>
    <n v="0.8571428571428571"/>
  </r>
  <r>
    <s v="Friday"/>
    <x v="11"/>
    <d v="2022-12-16T00:00:00"/>
    <d v="1899-12-30T03:00:00"/>
    <s v="PM"/>
    <s v="00:00:13"/>
    <n v="2"/>
    <n v="0"/>
    <n v="28"/>
    <n v="28"/>
    <m/>
    <s v="Friday"/>
    <d v="2022-12-16T00:00:00"/>
    <d v="1899-12-30T03:00:00"/>
    <s v="PM"/>
    <s v="00:18:27"/>
    <s v="00:00:12"/>
    <n v="92.857142857142861"/>
    <n v="28"/>
    <m/>
    <n v="30996"/>
    <n v="1107"/>
    <n v="12"/>
    <n v="0.9285714285714286"/>
  </r>
  <r>
    <s v="Friday"/>
    <x v="11"/>
    <d v="2022-12-16T00:00:00"/>
    <d v="1899-12-30T04:00:00"/>
    <s v="PM"/>
    <s v="00:00:07"/>
    <n v="2"/>
    <n v="0"/>
    <n v="23"/>
    <n v="23"/>
    <m/>
    <s v="Friday"/>
    <d v="2022-12-16T00:00:00"/>
    <d v="1899-12-30T04:00:00"/>
    <s v="PM"/>
    <s v="00:10:57"/>
    <s v="00:00:06"/>
    <n v="100"/>
    <n v="23"/>
    <m/>
    <n v="15111"/>
    <n v="657"/>
    <n v="6"/>
    <n v="1"/>
  </r>
  <r>
    <s v="Monday"/>
    <x v="12"/>
    <d v="2022-12-19T00:00:00"/>
    <d v="1899-12-30T08:00:00"/>
    <s v="AM"/>
    <s v="00:00:07"/>
    <n v="0"/>
    <n v="0"/>
    <n v="10"/>
    <n v="10"/>
    <m/>
    <s v="Monday"/>
    <d v="2022-12-19T00:00:00"/>
    <d v="1899-12-30T08:00:00"/>
    <s v="AM"/>
    <s v="00:20:36"/>
    <s v="00:00:06"/>
    <n v="100"/>
    <n v="10"/>
    <m/>
    <n v="12360.000000000002"/>
    <n v="1236.0000000000002"/>
    <n v="6"/>
    <n v="1"/>
  </r>
  <r>
    <s v="Monday"/>
    <x v="12"/>
    <d v="2022-12-19T00:00:00"/>
    <d v="1899-12-30T09:00:00"/>
    <s v="AM"/>
    <s v="00:00:43"/>
    <n v="1"/>
    <n v="0"/>
    <n v="21"/>
    <n v="21"/>
    <m/>
    <s v="Monday"/>
    <d v="2022-12-19T00:00:00"/>
    <d v="1899-12-30T09:00:00"/>
    <s v="AM"/>
    <s v="00:19:48"/>
    <s v="00:00:42"/>
    <n v="80.952380952380949"/>
    <n v="21"/>
    <m/>
    <n v="24948"/>
    <n v="1188"/>
    <n v="41.999999999999993"/>
    <n v="0.80952380952380953"/>
  </r>
  <r>
    <s v="Monday"/>
    <x v="12"/>
    <d v="2022-12-19T00:00:00"/>
    <d v="1899-12-30T10:00:00"/>
    <s v="AM"/>
    <s v="00:00:08"/>
    <n v="1"/>
    <n v="0"/>
    <n v="36"/>
    <n v="36"/>
    <m/>
    <s v="Monday"/>
    <d v="2022-12-19T00:00:00"/>
    <d v="1899-12-30T10:00:00"/>
    <s v="AM"/>
    <s v="00:14:11"/>
    <s v="00:00:07"/>
    <n v="97.222222222222214"/>
    <n v="36"/>
    <m/>
    <n v="30636"/>
    <n v="851"/>
    <n v="7"/>
    <n v="0.9722222222222221"/>
  </r>
  <r>
    <s v="Monday"/>
    <x v="12"/>
    <d v="2022-12-19T00:00:00"/>
    <d v="1899-12-30T11:00:00"/>
    <s v="AM"/>
    <s v="00:00:12"/>
    <n v="2"/>
    <n v="0"/>
    <n v="32"/>
    <n v="32"/>
    <m/>
    <s v="Monday"/>
    <d v="2022-12-19T00:00:00"/>
    <d v="1899-12-30T11:00:00"/>
    <s v="AM"/>
    <s v="00:16:05"/>
    <s v="00:00:11"/>
    <n v="93.75"/>
    <n v="32"/>
    <m/>
    <n v="30880"/>
    <n v="965"/>
    <n v="10.999999999999998"/>
    <n v="0.9375"/>
  </r>
  <r>
    <s v="Monday"/>
    <x v="12"/>
    <d v="2022-12-19T00:00:00"/>
    <d v="1899-12-30T12:00:00"/>
    <s v="PM"/>
    <s v="00:00:30"/>
    <n v="1"/>
    <n v="1"/>
    <n v="53"/>
    <n v="54"/>
    <m/>
    <s v="Monday"/>
    <d v="2022-12-19T00:00:00"/>
    <d v="1899-12-30T12:00:00"/>
    <s v="PM"/>
    <s v="00:17:39"/>
    <s v="00:00:29"/>
    <n v="86.79245283018868"/>
    <n v="53"/>
    <m/>
    <n v="57186"/>
    <n v="1059"/>
    <n v="28.999999999999996"/>
    <n v="0.86792452830188682"/>
  </r>
  <r>
    <s v="Monday"/>
    <x v="12"/>
    <d v="2022-12-19T00:00:00"/>
    <d v="1899-12-30T01:00:00"/>
    <s v="PM"/>
    <s v="00:00:06"/>
    <n v="0"/>
    <n v="0"/>
    <n v="31"/>
    <n v="31"/>
    <m/>
    <s v="Monday"/>
    <d v="2022-12-19T00:00:00"/>
    <d v="1899-12-30T01:00:00"/>
    <s v="PM"/>
    <s v="00:17:38"/>
    <s v="00:00:05"/>
    <n v="100"/>
    <n v="31"/>
    <m/>
    <n v="32798"/>
    <n v="1058"/>
    <n v="5"/>
    <n v="1"/>
  </r>
  <r>
    <s v="Monday"/>
    <x v="12"/>
    <d v="2022-12-19T00:00:00"/>
    <d v="1899-12-30T02:00:00"/>
    <s v="PM"/>
    <s v="00:00:15"/>
    <n v="3"/>
    <n v="0"/>
    <n v="27"/>
    <n v="27"/>
    <m/>
    <s v="Monday"/>
    <d v="2022-12-19T00:00:00"/>
    <d v="1899-12-30T02:00:00"/>
    <s v="PM"/>
    <s v="00:16:06"/>
    <s v="00:00:14"/>
    <n v="88.888888888888886"/>
    <n v="27"/>
    <m/>
    <n v="26082.000000000004"/>
    <n v="966.00000000000011"/>
    <n v="14"/>
    <n v="0.88888888888888884"/>
  </r>
  <r>
    <s v="Monday"/>
    <x v="12"/>
    <d v="2022-12-19T00:00:00"/>
    <d v="1899-12-30T03:00:00"/>
    <s v="PM"/>
    <s v="00:00:08"/>
    <n v="0"/>
    <n v="0"/>
    <n v="27"/>
    <n v="27"/>
    <m/>
    <s v="Monday"/>
    <d v="2022-12-19T00:00:00"/>
    <d v="1899-12-30T03:00:00"/>
    <s v="PM"/>
    <s v="00:16:28"/>
    <s v="00:00:07"/>
    <n v="100"/>
    <n v="27"/>
    <m/>
    <n v="26676"/>
    <n v="988"/>
    <n v="7"/>
    <n v="1"/>
  </r>
  <r>
    <s v="Monday"/>
    <x v="12"/>
    <d v="2022-12-19T00:00:00"/>
    <d v="1899-12-30T04:00:00"/>
    <s v="PM"/>
    <s v="00:00:17"/>
    <n v="1"/>
    <n v="0"/>
    <n v="18"/>
    <n v="18"/>
    <m/>
    <s v="Monday"/>
    <d v="2022-12-19T00:00:00"/>
    <d v="1899-12-30T04:00:00"/>
    <s v="PM"/>
    <s v="00:17:03"/>
    <s v="00:00:16"/>
    <n v="94.444444444444443"/>
    <n v="18"/>
    <m/>
    <n v="18414"/>
    <n v="1023"/>
    <n v="16"/>
    <n v="0.94444444444444442"/>
  </r>
  <r>
    <s v="Tuesday"/>
    <x v="13"/>
    <d v="2022-12-20T00:00:00"/>
    <d v="1899-12-30T08:00:00"/>
    <s v="AM"/>
    <s v="00:00:16"/>
    <n v="2"/>
    <n v="0"/>
    <n v="11"/>
    <n v="11"/>
    <m/>
    <s v="Tuesday"/>
    <d v="2022-12-20T00:00:00"/>
    <d v="1899-12-30T08:00:00"/>
    <s v="AM"/>
    <s v="00:12:49"/>
    <s v="00:00:15"/>
    <n v="81.818181818181827"/>
    <n v="11"/>
    <m/>
    <n v="8459"/>
    <n v="769"/>
    <n v="15"/>
    <n v="0.81818181818181823"/>
  </r>
  <r>
    <s v="Tuesday"/>
    <x v="13"/>
    <d v="2022-12-20T00:00:00"/>
    <d v="1899-12-30T09:00:00"/>
    <s v="AM"/>
    <s v="00:01:03"/>
    <n v="4"/>
    <n v="0"/>
    <n v="22"/>
    <n v="22"/>
    <m/>
    <s v="Tuesday"/>
    <d v="2022-12-20T00:00:00"/>
    <d v="1899-12-30T09:00:00"/>
    <s v="AM"/>
    <s v="00:18:10"/>
    <s v="00:01:02"/>
    <n v="68.181818181818173"/>
    <n v="22"/>
    <m/>
    <n v="23980"/>
    <n v="1090"/>
    <n v="62.000000000000007"/>
    <n v="0.68181818181818177"/>
  </r>
  <r>
    <s v="Tuesday"/>
    <x v="13"/>
    <d v="2022-12-20T00:00:00"/>
    <d v="1899-12-30T10:00:00"/>
    <s v="AM"/>
    <s v="00:00:10"/>
    <n v="3"/>
    <n v="0"/>
    <n v="47"/>
    <n v="47"/>
    <m/>
    <s v="Tuesday"/>
    <d v="2022-12-20T00:00:00"/>
    <d v="1899-12-30T10:00:00"/>
    <s v="AM"/>
    <s v="00:15:31"/>
    <s v="00:00:09"/>
    <n v="93.61702127659575"/>
    <n v="47"/>
    <m/>
    <n v="43757.000000000007"/>
    <n v="931.00000000000011"/>
    <n v="9"/>
    <n v="0.93617021276595747"/>
  </r>
  <r>
    <s v="Tuesday"/>
    <x v="13"/>
    <d v="2022-12-20T00:00:00"/>
    <d v="1899-12-30T11:00:00"/>
    <s v="AM"/>
    <s v="00:00:09"/>
    <n v="2"/>
    <n v="0"/>
    <n v="34"/>
    <n v="34"/>
    <m/>
    <s v="Tuesday"/>
    <d v="2022-12-20T00:00:00"/>
    <d v="1899-12-30T11:00:00"/>
    <s v="AM"/>
    <s v="00:14:54"/>
    <s v="00:00:08"/>
    <n v="94.117647058823522"/>
    <n v="34"/>
    <m/>
    <n v="30396.000000000004"/>
    <n v="894.00000000000011"/>
    <n v="8"/>
    <n v="0.94117647058823517"/>
  </r>
  <r>
    <s v="Tuesday"/>
    <x v="13"/>
    <d v="2022-12-20T00:00:00"/>
    <d v="1899-12-30T12:00:00"/>
    <s v="PM"/>
    <s v="00:00:09"/>
    <n v="2"/>
    <n v="0"/>
    <n v="33"/>
    <n v="33"/>
    <m/>
    <s v="Tuesday"/>
    <d v="2022-12-20T00:00:00"/>
    <d v="1899-12-30T12:00:00"/>
    <s v="PM"/>
    <s v="00:15:25"/>
    <s v="00:00:08"/>
    <n v="96.969696969696969"/>
    <n v="33"/>
    <m/>
    <n v="30524.999999999996"/>
    <n v="924.99999999999989"/>
    <n v="8"/>
    <n v="0.96969696969696972"/>
  </r>
  <r>
    <s v="Tuesday"/>
    <x v="13"/>
    <d v="2022-12-20T00:00:00"/>
    <d v="1899-12-30T01:00:00"/>
    <s v="PM"/>
    <s v="00:00:06"/>
    <n v="0"/>
    <n v="0"/>
    <n v="30"/>
    <n v="30"/>
    <m/>
    <s v="Tuesday"/>
    <d v="2022-12-20T00:00:00"/>
    <d v="1899-12-30T01:00:00"/>
    <s v="PM"/>
    <s v="00:11:48"/>
    <s v="00:00:05"/>
    <n v="100"/>
    <n v="30"/>
    <m/>
    <n v="21240.000000000004"/>
    <n v="708.00000000000011"/>
    <n v="5"/>
    <n v="1"/>
  </r>
  <r>
    <s v="Tuesday"/>
    <x v="13"/>
    <d v="2022-12-20T00:00:00"/>
    <d v="1899-12-30T02:00:00"/>
    <s v="PM"/>
    <s v="00:05:05"/>
    <n v="3"/>
    <n v="3"/>
    <n v="47"/>
    <n v="50"/>
    <m/>
    <s v="Tuesday"/>
    <d v="2022-12-20T00:00:00"/>
    <d v="1899-12-30T02:00:00"/>
    <s v="PM"/>
    <s v="00:15:47"/>
    <s v="00:05:04"/>
    <n v="57.446808510638306"/>
    <n v="47"/>
    <m/>
    <n v="47350"/>
    <n v="947"/>
    <n v="304"/>
    <n v="0.57446808510638303"/>
  </r>
  <r>
    <s v="Tuesday"/>
    <x v="13"/>
    <d v="2022-12-20T00:00:00"/>
    <d v="1899-12-30T03:00:00"/>
    <s v="PM"/>
    <s v="00:04:14"/>
    <n v="1"/>
    <n v="0"/>
    <n v="33"/>
    <n v="33"/>
    <m/>
    <s v="Tuesday"/>
    <d v="2022-12-20T00:00:00"/>
    <d v="1899-12-30T03:00:00"/>
    <s v="PM"/>
    <s v="00:12:14"/>
    <s v="00:04:13"/>
    <n v="36.363636363636367"/>
    <n v="33"/>
    <m/>
    <n v="24222"/>
    <n v="734"/>
    <n v="253.00000000000006"/>
    <n v="0.36363636363636365"/>
  </r>
  <r>
    <s v="Tuesday"/>
    <x v="13"/>
    <d v="2022-12-20T00:00:00"/>
    <d v="1899-12-30T04:00:00"/>
    <s v="PM"/>
    <s v="00:00:08"/>
    <n v="1"/>
    <n v="0"/>
    <n v="27"/>
    <n v="28"/>
    <m/>
    <s v="Tuesday"/>
    <d v="2022-12-20T00:00:00"/>
    <d v="1899-12-30T04:00:00"/>
    <s v="PM"/>
    <s v="00:14:08"/>
    <s v="00:00:07"/>
    <n v="96.296296296296291"/>
    <n v="27"/>
    <m/>
    <n v="23744"/>
    <n v="848"/>
    <n v="7"/>
    <n v="0.96296296296296291"/>
  </r>
  <r>
    <s v="Wednesday"/>
    <x v="14"/>
    <d v="2022-12-21T00:00:00"/>
    <d v="1899-12-30T08:00:00"/>
    <s v="AM"/>
    <s v="00:03:50"/>
    <n v="0"/>
    <n v="1"/>
    <n v="11"/>
    <n v="12"/>
    <m/>
    <s v="Wednesday"/>
    <d v="2022-12-21T00:00:00"/>
    <d v="1899-12-30T08:00:00"/>
    <s v="AM"/>
    <s v="00:11:10"/>
    <s v="00:03:49"/>
    <n v="54.54545454545454"/>
    <n v="11"/>
    <m/>
    <n v="8039.9999999999982"/>
    <n v="669.99999999999989"/>
    <n v="228.99999999999997"/>
    <n v="0.54545454545454541"/>
  </r>
  <r>
    <s v="Wednesday"/>
    <x v="14"/>
    <d v="2022-12-21T00:00:00"/>
    <d v="1899-12-30T09:00:00"/>
    <s v="AM"/>
    <s v="00:00:08"/>
    <n v="1"/>
    <n v="0"/>
    <n v="31"/>
    <n v="31"/>
    <m/>
    <s v="Wednesday"/>
    <d v="2022-12-21T00:00:00"/>
    <d v="1899-12-30T09:00:00"/>
    <s v="AM"/>
    <s v="00:17:32"/>
    <s v="00:00:07"/>
    <n v="96.774193548387103"/>
    <n v="31"/>
    <m/>
    <n v="32612.000000000007"/>
    <n v="1052.0000000000002"/>
    <n v="7"/>
    <n v="0.967741935483871"/>
  </r>
  <r>
    <s v="Wednesday"/>
    <x v="14"/>
    <d v="2022-12-21T00:00:00"/>
    <d v="1899-12-30T10:00:00"/>
    <s v="AM"/>
    <s v="00:00:11"/>
    <n v="1"/>
    <n v="0"/>
    <n v="24"/>
    <n v="24"/>
    <m/>
    <s v="Wednesday"/>
    <d v="2022-12-21T00:00:00"/>
    <d v="1899-12-30T10:00:00"/>
    <s v="AM"/>
    <s v="00:16:00"/>
    <s v="00:00:10"/>
    <n v="95.833333333333343"/>
    <n v="24"/>
    <m/>
    <n v="23040"/>
    <n v="960"/>
    <n v="10"/>
    <n v="0.95833333333333348"/>
  </r>
  <r>
    <s v="Wednesday"/>
    <x v="14"/>
    <d v="2022-12-21T00:00:00"/>
    <d v="1899-12-30T11:00:00"/>
    <s v="AM"/>
    <s v="00:00:14"/>
    <n v="4"/>
    <n v="0"/>
    <n v="32"/>
    <n v="32"/>
    <m/>
    <s v="Wednesday"/>
    <d v="2022-12-21T00:00:00"/>
    <d v="1899-12-30T11:00:00"/>
    <s v="AM"/>
    <s v="00:16:31"/>
    <s v="00:00:13"/>
    <n v="87.5"/>
    <n v="32"/>
    <m/>
    <n v="31712"/>
    <n v="991"/>
    <n v="13.000000000000002"/>
    <n v="0.875"/>
  </r>
  <r>
    <s v="Wednesday"/>
    <x v="14"/>
    <d v="2022-12-21T00:00:00"/>
    <d v="1899-12-30T12:00:00"/>
    <s v="PM"/>
    <s v="00:00:12"/>
    <n v="3"/>
    <n v="0"/>
    <n v="26"/>
    <n v="26"/>
    <m/>
    <s v="Wednesday"/>
    <d v="2022-12-21T00:00:00"/>
    <d v="1899-12-30T12:00:00"/>
    <s v="PM"/>
    <s v="00:14:43"/>
    <s v="00:00:11"/>
    <n v="92.307692307692307"/>
    <n v="26"/>
    <m/>
    <n v="22958.000000000004"/>
    <n v="883.00000000000011"/>
    <n v="10.999999999999998"/>
    <n v="0.92307692307692302"/>
  </r>
  <r>
    <s v="Wednesday"/>
    <x v="14"/>
    <d v="2022-12-21T00:00:00"/>
    <d v="1899-12-30T01:00:00"/>
    <s v="PM"/>
    <s v="00:00:10"/>
    <n v="3"/>
    <n v="0"/>
    <n v="28"/>
    <n v="29"/>
    <m/>
    <s v="Wednesday"/>
    <d v="2022-12-21T00:00:00"/>
    <d v="1899-12-30T01:00:00"/>
    <s v="PM"/>
    <s v="00:14:10"/>
    <s v="00:00:10"/>
    <n v="92.857142857142861"/>
    <n v="28"/>
    <m/>
    <n v="24650"/>
    <n v="850"/>
    <n v="10"/>
    <n v="0.9285714285714286"/>
  </r>
  <r>
    <s v="Wednesday"/>
    <x v="14"/>
    <d v="2022-12-21T00:00:00"/>
    <d v="1899-12-30T02:00:00"/>
    <s v="PM"/>
    <s v="00:00:09"/>
    <n v="1"/>
    <n v="0"/>
    <n v="31"/>
    <n v="31"/>
    <m/>
    <s v="Wednesday"/>
    <d v="2022-12-21T00:00:00"/>
    <d v="1899-12-30T02:00:00"/>
    <s v="PM"/>
    <s v="00:15:52"/>
    <s v="00:00:08"/>
    <n v="96.774193548387103"/>
    <n v="31"/>
    <m/>
    <n v="29511.999999999996"/>
    <n v="951.99999999999989"/>
    <n v="8"/>
    <n v="0.967741935483871"/>
  </r>
  <r>
    <s v="Wednesday"/>
    <x v="14"/>
    <d v="2022-12-21T00:00:00"/>
    <d v="1899-12-30T03:00:00"/>
    <s v="PM"/>
    <s v="00:00:09"/>
    <n v="1"/>
    <n v="0"/>
    <n v="31"/>
    <n v="31"/>
    <m/>
    <s v="Wednesday"/>
    <d v="2022-12-21T00:00:00"/>
    <d v="1899-12-30T03:00:00"/>
    <s v="PM"/>
    <s v="00:13:48"/>
    <s v="00:00:08"/>
    <n v="96.774193548387103"/>
    <n v="31"/>
    <m/>
    <n v="25668.000000000004"/>
    <n v="828.00000000000011"/>
    <n v="8"/>
    <n v="0.967741935483871"/>
  </r>
  <r>
    <s v="Wednesday"/>
    <x v="14"/>
    <d v="2022-12-21T00:00:00"/>
    <d v="1899-12-30T04:00:00"/>
    <s v="PM"/>
    <s v="00:00:10"/>
    <n v="1"/>
    <n v="0"/>
    <n v="18"/>
    <n v="18"/>
    <m/>
    <s v="Wednesday"/>
    <d v="2022-12-21T00:00:00"/>
    <d v="1899-12-30T04:00:00"/>
    <s v="PM"/>
    <s v="00:17:33"/>
    <s v="00:00:09"/>
    <n v="94.444444444444443"/>
    <n v="18"/>
    <m/>
    <n v="18954.000000000004"/>
    <n v="1053.0000000000002"/>
    <n v="9"/>
    <n v="0.94444444444444442"/>
  </r>
  <r>
    <s v="Thursday"/>
    <x v="15"/>
    <d v="2022-12-22T00:00:00"/>
    <d v="1899-12-30T08:00:00"/>
    <s v="AM"/>
    <s v="00:00:13"/>
    <n v="2"/>
    <n v="0"/>
    <n v="17"/>
    <n v="17"/>
    <m/>
    <s v="Thursday"/>
    <d v="2022-12-22T00:00:00"/>
    <d v="1899-12-30T08:00:00"/>
    <s v="AM"/>
    <s v="00:16:35"/>
    <s v="00:00:12"/>
    <n v="88.235294117647058"/>
    <n v="17"/>
    <m/>
    <n v="16914.999999999996"/>
    <n v="994.99999999999989"/>
    <n v="12"/>
    <n v="0.88235294117647056"/>
  </r>
  <r>
    <s v="Thursday"/>
    <x v="15"/>
    <d v="2022-12-22T00:00:00"/>
    <d v="1899-12-30T09:00:00"/>
    <s v="AM"/>
    <s v="00:00:56"/>
    <n v="0"/>
    <n v="0"/>
    <n v="21"/>
    <n v="21"/>
    <m/>
    <s v="Thursday"/>
    <d v="2022-12-22T00:00:00"/>
    <d v="1899-12-30T09:00:00"/>
    <s v="AM"/>
    <s v="00:11:45"/>
    <s v="00:00:55"/>
    <n v="95.238095238095227"/>
    <n v="21"/>
    <m/>
    <n v="14805"/>
    <n v="705"/>
    <n v="54.999999999999993"/>
    <n v="0.95238095238095222"/>
  </r>
  <r>
    <s v="Thursday"/>
    <x v="15"/>
    <d v="2022-12-22T00:00:00"/>
    <d v="1899-12-30T10:00:00"/>
    <s v="AM"/>
    <s v="00:00:07"/>
    <n v="0"/>
    <n v="0"/>
    <n v="28"/>
    <n v="28"/>
    <m/>
    <s v="Thursday"/>
    <d v="2022-12-22T00:00:00"/>
    <d v="1899-12-30T10:00:00"/>
    <s v="AM"/>
    <s v="00:21:30"/>
    <s v="00:00:06"/>
    <n v="100"/>
    <n v="28"/>
    <m/>
    <n v="36120"/>
    <n v="1290"/>
    <n v="6"/>
    <n v="1"/>
  </r>
  <r>
    <s v="Thursday"/>
    <x v="15"/>
    <d v="2022-12-22T00:00:00"/>
    <d v="1899-12-30T11:00:00"/>
    <s v="AM"/>
    <s v="00:00:06"/>
    <n v="0"/>
    <n v="0"/>
    <n v="33"/>
    <n v="33"/>
    <m/>
    <s v="Thursday"/>
    <d v="2022-12-22T00:00:00"/>
    <d v="1899-12-30T11:00:00"/>
    <s v="AM"/>
    <s v="00:15:47"/>
    <s v="00:00:05"/>
    <n v="100"/>
    <n v="33"/>
    <m/>
    <n v="31251"/>
    <n v="947"/>
    <n v="5"/>
    <n v="1"/>
  </r>
  <r>
    <s v="Thursday"/>
    <x v="15"/>
    <d v="2022-12-22T00:00:00"/>
    <d v="1899-12-30T12:00:00"/>
    <s v="PM"/>
    <s v="00:00:06"/>
    <n v="0"/>
    <n v="0"/>
    <n v="24"/>
    <n v="24"/>
    <m/>
    <s v="Thursday"/>
    <d v="2022-12-22T00:00:00"/>
    <d v="1899-12-30T12:00:00"/>
    <s v="PM"/>
    <s v="00:15:52"/>
    <s v="00:00:05"/>
    <n v="100"/>
    <n v="24"/>
    <m/>
    <n v="22847.999999999996"/>
    <n v="951.99999999999989"/>
    <n v="5"/>
    <n v="1"/>
  </r>
  <r>
    <s v="Thursday"/>
    <x v="15"/>
    <d v="2022-12-22T00:00:00"/>
    <d v="1899-12-30T01:00:00"/>
    <s v="PM"/>
    <s v="00:00:09"/>
    <n v="1"/>
    <n v="0"/>
    <n v="30"/>
    <n v="30"/>
    <m/>
    <s v="Thursday"/>
    <d v="2022-12-22T00:00:00"/>
    <d v="1899-12-30T01:00:00"/>
    <s v="PM"/>
    <s v="00:12:34"/>
    <s v="00:00:08"/>
    <n v="96.666666666666671"/>
    <n v="30"/>
    <m/>
    <n v="22620"/>
    <n v="754"/>
    <n v="8"/>
    <n v="0.96666666666666667"/>
  </r>
  <r>
    <s v="Thursday"/>
    <x v="15"/>
    <d v="2022-12-22T00:00:00"/>
    <d v="1899-12-30T02:00:00"/>
    <s v="PM"/>
    <s v="00:00:08"/>
    <n v="1"/>
    <n v="0"/>
    <n v="25"/>
    <n v="25"/>
    <m/>
    <s v="Thursday"/>
    <d v="2022-12-22T00:00:00"/>
    <d v="1899-12-30T02:00:00"/>
    <s v="PM"/>
    <s v="00:16:28"/>
    <s v="00:00:07"/>
    <n v="96"/>
    <n v="25"/>
    <m/>
    <n v="24700"/>
    <n v="988"/>
    <n v="7"/>
    <n v="0.96"/>
  </r>
  <r>
    <s v="Thursday"/>
    <x v="15"/>
    <d v="2022-12-22T00:00:00"/>
    <d v="1899-12-30T03:00:00"/>
    <s v="PM"/>
    <s v="00:00:06"/>
    <n v="0"/>
    <n v="0"/>
    <n v="29"/>
    <n v="29"/>
    <m/>
    <s v="Thursday"/>
    <d v="2022-12-22T00:00:00"/>
    <d v="1899-12-30T03:00:00"/>
    <s v="PM"/>
    <s v="00:13:37"/>
    <s v="00:00:05"/>
    <n v="100"/>
    <n v="29"/>
    <m/>
    <n v="23693"/>
    <n v="817"/>
    <n v="5"/>
    <n v="1"/>
  </r>
  <r>
    <s v="Thursday"/>
    <x v="15"/>
    <d v="2022-12-22T00:00:00"/>
    <d v="1899-12-30T04:00:00"/>
    <s v="PM"/>
    <s v="00:00:09"/>
    <n v="1"/>
    <n v="0"/>
    <n v="28"/>
    <n v="28"/>
    <m/>
    <s v="Thursday"/>
    <d v="2022-12-22T00:00:00"/>
    <d v="1899-12-30T04:00:00"/>
    <s v="PM"/>
    <s v="00:14:15"/>
    <s v="00:00:08"/>
    <n v="96.428571428571431"/>
    <n v="28"/>
    <m/>
    <n v="23940"/>
    <n v="855"/>
    <n v="8"/>
    <n v="0.9642857142857143"/>
  </r>
  <r>
    <s v="Friday"/>
    <x v="16"/>
    <d v="2022-12-23T00:00:00"/>
    <d v="1899-12-30T08:00:00"/>
    <s v="AM"/>
    <s v="00:00:23"/>
    <n v="4"/>
    <n v="0"/>
    <n v="12"/>
    <n v="12"/>
    <m/>
    <s v="Friday"/>
    <d v="2022-12-23T00:00:00"/>
    <d v="1899-12-30T08:00:00"/>
    <s v="AM"/>
    <s v="00:20:55"/>
    <s v="00:00:22"/>
    <n v="75"/>
    <n v="12"/>
    <m/>
    <n v="15060"/>
    <n v="1255"/>
    <n v="21.999999999999996"/>
    <n v="0.75"/>
  </r>
  <r>
    <s v="Friday"/>
    <x v="16"/>
    <d v="2022-12-23T00:00:00"/>
    <d v="1899-12-30T09:00:00"/>
    <s v="AM"/>
    <s v="00:00:09"/>
    <n v="1"/>
    <n v="0"/>
    <n v="20"/>
    <n v="20"/>
    <m/>
    <s v="Friday"/>
    <d v="2022-12-23T00:00:00"/>
    <d v="1899-12-30T09:00:00"/>
    <s v="AM"/>
    <s v="00:16:48"/>
    <s v="00:00:08"/>
    <n v="100"/>
    <n v="20"/>
    <m/>
    <n v="20160"/>
    <n v="1008"/>
    <n v="8"/>
    <n v="1"/>
  </r>
  <r>
    <s v="Friday"/>
    <x v="16"/>
    <d v="2022-12-23T00:00:00"/>
    <d v="1899-12-30T10:00:00"/>
    <s v="AM"/>
    <s v="00:00:11"/>
    <n v="2"/>
    <n v="0"/>
    <n v="25"/>
    <n v="25"/>
    <m/>
    <s v="Friday"/>
    <d v="2022-12-23T00:00:00"/>
    <d v="1899-12-30T10:00:00"/>
    <s v="AM"/>
    <s v="00:13:48"/>
    <s v="00:00:10"/>
    <n v="92"/>
    <n v="25"/>
    <m/>
    <n v="20700.000000000004"/>
    <n v="828.00000000000011"/>
    <n v="10"/>
    <n v="0.92"/>
  </r>
  <r>
    <s v="Friday"/>
    <x v="16"/>
    <d v="2022-12-23T00:00:00"/>
    <d v="1899-12-30T11:00:00"/>
    <s v="AM"/>
    <s v="00:00:10"/>
    <n v="2"/>
    <n v="0"/>
    <n v="34"/>
    <n v="34"/>
    <m/>
    <s v="Friday"/>
    <d v="2022-12-23T00:00:00"/>
    <d v="1899-12-30T11:00:00"/>
    <s v="AM"/>
    <s v="00:14:12"/>
    <s v="00:00:09"/>
    <n v="94.117647058823522"/>
    <n v="34"/>
    <m/>
    <n v="28967.999999999996"/>
    <n v="851.99999999999989"/>
    <n v="9"/>
    <n v="0.94117647058823517"/>
  </r>
  <r>
    <s v="Friday"/>
    <x v="16"/>
    <d v="2022-12-23T00:00:00"/>
    <d v="1899-12-30T12:00:00"/>
    <s v="PM"/>
    <s v="00:00:08"/>
    <n v="1"/>
    <n v="0"/>
    <n v="38"/>
    <n v="38"/>
    <m/>
    <s v="Friday"/>
    <d v="2022-12-23T00:00:00"/>
    <d v="1899-12-30T12:00:00"/>
    <s v="PM"/>
    <s v="00:15:18"/>
    <s v="00:00:07"/>
    <n v="97.368421052631575"/>
    <n v="38"/>
    <m/>
    <n v="34884.000000000007"/>
    <n v="918.00000000000011"/>
    <n v="7"/>
    <n v="0.97368421052631571"/>
  </r>
  <r>
    <s v="Friday"/>
    <x v="16"/>
    <d v="2022-12-23T00:00:00"/>
    <d v="1899-12-30T01:00:00"/>
    <s v="PM"/>
    <s v="00:00:08"/>
    <n v="0"/>
    <n v="0"/>
    <n v="21"/>
    <n v="21"/>
    <m/>
    <s v="Friday"/>
    <d v="2022-12-23T00:00:00"/>
    <d v="1899-12-30T01:00:00"/>
    <s v="PM"/>
    <s v="00:11:11"/>
    <s v="00:00:07"/>
    <n v="100"/>
    <n v="21"/>
    <m/>
    <n v="14091"/>
    <n v="671"/>
    <n v="7"/>
    <n v="1"/>
  </r>
  <r>
    <s v="Friday"/>
    <x v="16"/>
    <d v="2022-12-23T00:00:00"/>
    <d v="1899-12-30T02:00:00"/>
    <s v="PM"/>
    <s v="00:00:10"/>
    <n v="1"/>
    <n v="0"/>
    <n v="18"/>
    <n v="18"/>
    <m/>
    <s v="Friday"/>
    <d v="2022-12-23T00:00:00"/>
    <d v="1899-12-30T02:00:00"/>
    <s v="PM"/>
    <s v="00:15:36"/>
    <s v="00:00:09"/>
    <n v="94.444444444444443"/>
    <n v="18"/>
    <m/>
    <n v="16848"/>
    <n v="936"/>
    <n v="9"/>
    <n v="0.94444444444444442"/>
  </r>
  <r>
    <s v="Friday"/>
    <x v="16"/>
    <d v="2022-12-23T00:00:00"/>
    <d v="1899-12-30T03:00:00"/>
    <s v="PM"/>
    <s v="00:01:50"/>
    <n v="7"/>
    <n v="0"/>
    <n v="28"/>
    <n v="28"/>
    <m/>
    <s v="Friday"/>
    <d v="2022-12-23T00:00:00"/>
    <d v="1899-12-30T03:00:00"/>
    <s v="PM"/>
    <s v="00:13:45"/>
    <s v="00:01:49"/>
    <n v="67.857142857142861"/>
    <n v="28"/>
    <m/>
    <n v="23099.999999999996"/>
    <n v="824.99999999999989"/>
    <n v="109"/>
    <n v="0.6785714285714286"/>
  </r>
  <r>
    <s v="Friday"/>
    <x v="16"/>
    <d v="2022-12-23T00:00:00"/>
    <d v="1899-12-30T04:00:00"/>
    <s v="PM"/>
    <s v="00:00:14"/>
    <n v="2"/>
    <n v="0"/>
    <n v="14"/>
    <n v="14"/>
    <m/>
    <s v="Friday"/>
    <d v="2022-12-23T00:00:00"/>
    <d v="1899-12-30T04:00:00"/>
    <s v="PM"/>
    <s v="00:17:00"/>
    <s v="00:00:13"/>
    <n v="85.714285714285708"/>
    <n v="14"/>
    <m/>
    <n v="14280"/>
    <n v="1020"/>
    <n v="13.000000000000002"/>
    <n v="0.8571428571428571"/>
  </r>
  <r>
    <s v="Tuesday"/>
    <x v="17"/>
    <d v="2022-12-27T00:00:00"/>
    <d v="1899-12-30T08:00:00"/>
    <s v="AM"/>
    <s v="00:00:10"/>
    <n v="0"/>
    <n v="1"/>
    <n v="14"/>
    <n v="15"/>
    <m/>
    <s v="Tuesday"/>
    <d v="2022-12-27T00:00:00"/>
    <d v="1899-12-30T08:00:00"/>
    <s v="AM"/>
    <s v="00:11:25"/>
    <s v="00:00:09"/>
    <n v="100"/>
    <n v="14"/>
    <m/>
    <n v="10275"/>
    <n v="685"/>
    <n v="9"/>
    <n v="1"/>
  </r>
  <r>
    <s v="Tuesday"/>
    <x v="17"/>
    <d v="2022-12-27T00:00:00"/>
    <d v="1899-12-30T09:00:00"/>
    <s v="AM"/>
    <s v="00:02:42"/>
    <n v="5"/>
    <n v="0"/>
    <n v="30"/>
    <n v="30"/>
    <m/>
    <s v="Tuesday"/>
    <d v="2022-12-27T00:00:00"/>
    <d v="1899-12-30T09:00:00"/>
    <s v="AM"/>
    <s v="00:14:12"/>
    <s v="00:02:41"/>
    <n v="50"/>
    <n v="30"/>
    <m/>
    <n v="25559.999999999996"/>
    <n v="851.99999999999989"/>
    <n v="161.00000000000003"/>
    <n v="0.5"/>
  </r>
  <r>
    <s v="Tuesday"/>
    <x v="17"/>
    <d v="2022-12-27T00:00:00"/>
    <d v="1899-12-30T10:00:00"/>
    <s v="AM"/>
    <s v="00:02:36"/>
    <n v="7"/>
    <n v="0"/>
    <n v="42"/>
    <n v="42"/>
    <m/>
    <s v="Tuesday"/>
    <d v="2022-12-27T00:00:00"/>
    <d v="1899-12-30T10:00:00"/>
    <s v="AM"/>
    <s v="00:14:31"/>
    <s v="00:02:35"/>
    <n v="47.619047619047613"/>
    <n v="42"/>
    <m/>
    <n v="36582"/>
    <n v="871"/>
    <n v="155"/>
    <n v="0.47619047619047611"/>
  </r>
  <r>
    <s v="Tuesday"/>
    <x v="17"/>
    <d v="2022-12-27T00:00:00"/>
    <d v="1899-12-30T11:00:00"/>
    <s v="AM"/>
    <s v="00:00:10"/>
    <n v="2"/>
    <n v="0"/>
    <n v="45"/>
    <n v="45"/>
    <m/>
    <s v="Tuesday"/>
    <d v="2022-12-27T00:00:00"/>
    <d v="1899-12-30T11:00:00"/>
    <s v="AM"/>
    <s v="00:13:41"/>
    <s v="00:00:09"/>
    <n v="95.555555555555557"/>
    <n v="45"/>
    <m/>
    <n v="36945.000000000007"/>
    <n v="821.00000000000011"/>
    <n v="9"/>
    <n v="0.9555555555555556"/>
  </r>
  <r>
    <s v="Tuesday"/>
    <x v="17"/>
    <d v="2022-12-27T00:00:00"/>
    <d v="1899-12-30T12:00:00"/>
    <s v="PM"/>
    <s v="00:00:17"/>
    <n v="6"/>
    <n v="0"/>
    <n v="36"/>
    <n v="36"/>
    <m/>
    <s v="Tuesday"/>
    <d v="2022-12-27T00:00:00"/>
    <d v="1899-12-30T12:00:00"/>
    <s v="PM"/>
    <s v="00:15:00"/>
    <s v="00:00:16"/>
    <n v="86.111111111111114"/>
    <n v="36"/>
    <m/>
    <n v="32400"/>
    <n v="900"/>
    <n v="16"/>
    <n v="0.86111111111111116"/>
  </r>
  <r>
    <s v="Tuesday"/>
    <x v="17"/>
    <d v="2022-12-27T00:00:00"/>
    <d v="1899-12-30T01:00:00"/>
    <s v="PM"/>
    <s v="00:00:57"/>
    <n v="4"/>
    <n v="0"/>
    <n v="40"/>
    <n v="40"/>
    <m/>
    <s v="Tuesday"/>
    <d v="2022-12-27T00:00:00"/>
    <d v="1899-12-30T01:00:00"/>
    <s v="PM"/>
    <s v="00:18:36"/>
    <s v="00:00:57"/>
    <n v="67.5"/>
    <n v="40"/>
    <m/>
    <n v="44640"/>
    <n v="1116"/>
    <n v="56.999999999999993"/>
    <n v="0.67500000000000004"/>
  </r>
  <r>
    <s v="Tuesday"/>
    <x v="17"/>
    <d v="2022-12-27T00:00:00"/>
    <d v="1899-12-30T02:00:00"/>
    <s v="PM"/>
    <s v="00:01:07"/>
    <n v="4"/>
    <n v="1"/>
    <n v="44"/>
    <n v="45"/>
    <m/>
    <s v="Tuesday"/>
    <d v="2022-12-27T00:00:00"/>
    <d v="1899-12-30T02:00:00"/>
    <s v="PM"/>
    <s v="00:18:35"/>
    <s v="00:01:06"/>
    <n v="72.727272727272734"/>
    <n v="44"/>
    <m/>
    <n v="50174.999999999993"/>
    <n v="1114.9999999999998"/>
    <n v="66"/>
    <n v="0.72727272727272729"/>
  </r>
  <r>
    <s v="Tuesday"/>
    <x v="17"/>
    <d v="2022-12-27T00:00:00"/>
    <d v="1899-12-30T03:00:00"/>
    <s v="PM"/>
    <s v="00:00:15"/>
    <n v="4"/>
    <n v="0"/>
    <n v="33"/>
    <n v="33"/>
    <m/>
    <s v="Tuesday"/>
    <d v="2022-12-27T00:00:00"/>
    <d v="1899-12-30T03:00:00"/>
    <s v="PM"/>
    <s v="00:15:21"/>
    <s v="00:00:14"/>
    <n v="90.909090909090907"/>
    <n v="33"/>
    <m/>
    <n v="30392.999999999996"/>
    <n v="920.99999999999989"/>
    <n v="14"/>
    <n v="0.90909090909090906"/>
  </r>
  <r>
    <s v="Tuesday"/>
    <x v="17"/>
    <d v="2022-12-27T00:00:00"/>
    <d v="1899-12-30T04:00:00"/>
    <s v="PM"/>
    <s v="00:02:58"/>
    <n v="5"/>
    <n v="4"/>
    <n v="20"/>
    <n v="24"/>
    <m/>
    <s v="Tuesday"/>
    <d v="2022-12-27T00:00:00"/>
    <d v="1899-12-30T04:00:00"/>
    <s v="PM"/>
    <s v="00:18:45"/>
    <s v="00:02:57"/>
    <n v="55.000000000000007"/>
    <n v="20"/>
    <m/>
    <n v="27000"/>
    <n v="1125"/>
    <n v="177.00000000000003"/>
    <n v="0.55000000000000004"/>
  </r>
  <r>
    <s v="Wednesday"/>
    <x v="18"/>
    <d v="2022-12-28T00:00:00"/>
    <d v="1899-12-30T08:00:00"/>
    <s v="AM"/>
    <s v="00:00:09"/>
    <n v="0"/>
    <n v="0"/>
    <n v="2"/>
    <n v="2"/>
    <m/>
    <s v="Wednesday"/>
    <d v="2022-12-28T00:00:00"/>
    <d v="1899-12-30T08:00:00"/>
    <s v="AM"/>
    <s v="00:28:00"/>
    <s v="00:00:08"/>
    <n v="100"/>
    <n v="2"/>
    <m/>
    <n v="3360"/>
    <n v="1680"/>
    <n v="8"/>
    <n v="1"/>
  </r>
  <r>
    <s v="Wednesday"/>
    <x v="18"/>
    <d v="2022-12-28T00:00:00"/>
    <d v="1899-12-30T09:00:00"/>
    <s v="AM"/>
    <s v="00:01:09"/>
    <n v="1"/>
    <n v="1"/>
    <n v="25"/>
    <n v="26"/>
    <m/>
    <s v="Wednesday"/>
    <d v="2022-12-28T00:00:00"/>
    <d v="1899-12-30T09:00:00"/>
    <s v="AM"/>
    <s v="00:18:07"/>
    <s v="00:01:08"/>
    <n v="72"/>
    <n v="25"/>
    <m/>
    <n v="28262"/>
    <n v="1087"/>
    <n v="68"/>
    <n v="0.72"/>
  </r>
  <r>
    <s v="Wednesday"/>
    <x v="18"/>
    <d v="2022-12-28T00:00:00"/>
    <d v="1899-12-30T10:00:00"/>
    <s v="AM"/>
    <s v="00:00:08"/>
    <n v="0"/>
    <n v="0"/>
    <n v="27"/>
    <n v="27"/>
    <m/>
    <s v="Wednesday"/>
    <d v="2022-12-28T00:00:00"/>
    <d v="1899-12-30T10:00:00"/>
    <s v="AM"/>
    <s v="00:12:22"/>
    <s v="00:00:07"/>
    <n v="100"/>
    <n v="27"/>
    <m/>
    <n v="20033.999999999996"/>
    <n v="741.99999999999989"/>
    <n v="7"/>
    <n v="1"/>
  </r>
  <r>
    <s v="Wednesday"/>
    <x v="18"/>
    <d v="2022-12-28T00:00:00"/>
    <d v="1899-12-30T11:00:00"/>
    <s v="AM"/>
    <s v="00:00:08"/>
    <n v="0"/>
    <n v="0"/>
    <n v="40"/>
    <n v="40"/>
    <m/>
    <s v="Wednesday"/>
    <d v="2022-12-28T00:00:00"/>
    <d v="1899-12-30T11:00:00"/>
    <s v="AM"/>
    <s v="00:16:46"/>
    <s v="00:00:07"/>
    <n v="100"/>
    <n v="40"/>
    <m/>
    <n v="40240"/>
    <n v="1006"/>
    <n v="7"/>
    <n v="1"/>
  </r>
  <r>
    <s v="Wednesday"/>
    <x v="18"/>
    <d v="2022-12-28T00:00:00"/>
    <d v="1899-12-30T12:00:00"/>
    <s v="PM"/>
    <s v="00:00:26"/>
    <n v="2"/>
    <n v="0"/>
    <n v="33"/>
    <n v="33"/>
    <m/>
    <s v="Wednesday"/>
    <d v="2022-12-28T00:00:00"/>
    <d v="1899-12-30T12:00:00"/>
    <s v="PM"/>
    <s v="00:09:47"/>
    <s v="00:00:25"/>
    <n v="87.878787878787875"/>
    <n v="33"/>
    <m/>
    <n v="19371"/>
    <n v="587"/>
    <n v="25.000000000000004"/>
    <n v="0.87878787878787878"/>
  </r>
  <r>
    <s v="Wednesday"/>
    <x v="18"/>
    <d v="2022-12-28T00:00:00"/>
    <d v="1899-12-30T01:00:00"/>
    <s v="PM"/>
    <s v="00:00:24"/>
    <n v="1"/>
    <n v="0"/>
    <n v="36"/>
    <n v="36"/>
    <m/>
    <s v="Wednesday"/>
    <d v="2022-12-28T00:00:00"/>
    <d v="1899-12-30T01:00:00"/>
    <s v="PM"/>
    <s v="00:14:31"/>
    <s v="00:00:24"/>
    <n v="86.111111111111114"/>
    <n v="36"/>
    <m/>
    <n v="31356"/>
    <n v="871"/>
    <n v="24"/>
    <n v="0.86111111111111116"/>
  </r>
  <r>
    <s v="Wednesday"/>
    <x v="18"/>
    <d v="2022-12-28T00:00:00"/>
    <d v="1899-12-30T02:00:00"/>
    <s v="PM"/>
    <s v="00:00:19"/>
    <n v="3"/>
    <n v="0"/>
    <n v="32"/>
    <n v="32"/>
    <m/>
    <s v="Wednesday"/>
    <d v="2022-12-28T00:00:00"/>
    <d v="1899-12-30T02:00:00"/>
    <s v="PM"/>
    <s v="00:13:46"/>
    <s v="00:00:18"/>
    <n v="87.5"/>
    <n v="32"/>
    <m/>
    <n v="26432"/>
    <n v="826"/>
    <n v="18"/>
    <n v="0.875"/>
  </r>
  <r>
    <s v="Wednesday"/>
    <x v="18"/>
    <d v="2022-12-28T00:00:00"/>
    <d v="1899-12-30T03:00:00"/>
    <s v="PM"/>
    <s v="00:03:20"/>
    <n v="7"/>
    <n v="7"/>
    <n v="29"/>
    <n v="36"/>
    <m/>
    <s v="Wednesday"/>
    <d v="2022-12-28T00:00:00"/>
    <d v="1899-12-30T03:00:00"/>
    <s v="PM"/>
    <s v="00:15:20"/>
    <s v="00:03:19"/>
    <n v="58.620689655172406"/>
    <n v="29"/>
    <m/>
    <n v="33120.000000000007"/>
    <n v="920.00000000000011"/>
    <n v="199"/>
    <n v="0.58620689655172409"/>
  </r>
  <r>
    <s v="Wednesday"/>
    <x v="18"/>
    <d v="2022-12-28T00:00:00"/>
    <d v="1899-12-30T04:00:00"/>
    <s v="PM"/>
    <s v="00:01:49"/>
    <n v="4"/>
    <n v="5"/>
    <n v="33"/>
    <n v="38"/>
    <m/>
    <s v="Wednesday"/>
    <d v="2022-12-28T00:00:00"/>
    <d v="1899-12-30T04:00:00"/>
    <s v="PM"/>
    <s v="00:13:29"/>
    <s v="00:01:48"/>
    <n v="36.363636363636367"/>
    <n v="33"/>
    <m/>
    <n v="30742"/>
    <n v="809"/>
    <n v="108"/>
    <n v="0.36363636363636365"/>
  </r>
  <r>
    <s v="Thursday"/>
    <x v="19"/>
    <d v="2022-12-29T00:00:00"/>
    <d v="1899-12-30T08:00:00"/>
    <s v="AM"/>
    <s v="00:00:27"/>
    <n v="1"/>
    <n v="0"/>
    <n v="12"/>
    <n v="12"/>
    <m/>
    <s v="Thursday"/>
    <d v="2022-12-29T00:00:00"/>
    <d v="1899-12-30T08:00:00"/>
    <s v="AM"/>
    <s v="00:14:25"/>
    <s v="00:00:27"/>
    <n v="91.666666666666657"/>
    <n v="12"/>
    <m/>
    <n v="10380"/>
    <n v="865"/>
    <n v="27"/>
    <n v="0.91666666666666652"/>
  </r>
  <r>
    <s v="Thursday"/>
    <x v="19"/>
    <d v="2022-12-29T00:00:00"/>
    <d v="1899-12-30T09:00:00"/>
    <s v="AM"/>
    <s v="00:00:14"/>
    <n v="2"/>
    <n v="0"/>
    <n v="33"/>
    <n v="33"/>
    <m/>
    <s v="Thursday"/>
    <d v="2022-12-29T00:00:00"/>
    <d v="1899-12-30T09:00:00"/>
    <s v="AM"/>
    <s v="00:16:29"/>
    <s v="00:00:14"/>
    <n v="90.909090909090907"/>
    <n v="33"/>
    <m/>
    <n v="32637.000000000004"/>
    <n v="989.00000000000011"/>
    <n v="14"/>
    <n v="0.90909090909090906"/>
  </r>
  <r>
    <s v="Thursday"/>
    <x v="19"/>
    <d v="2022-12-29T00:00:00"/>
    <d v="1899-12-30T10:00:00"/>
    <s v="AM"/>
    <s v="00:00:23"/>
    <n v="1"/>
    <n v="0"/>
    <n v="43"/>
    <n v="43"/>
    <m/>
    <s v="Thursday"/>
    <d v="2022-12-29T00:00:00"/>
    <d v="1899-12-30T10:00:00"/>
    <s v="AM"/>
    <s v="00:15:51"/>
    <s v="00:00:22"/>
    <n v="86.04651162790698"/>
    <n v="43"/>
    <m/>
    <n v="40893"/>
    <n v="951"/>
    <n v="21.999999999999996"/>
    <n v="0.86046511627906985"/>
  </r>
  <r>
    <s v="Thursday"/>
    <x v="19"/>
    <d v="2022-12-29T00:00:00"/>
    <d v="1899-12-30T11:00:00"/>
    <s v="AM"/>
    <s v="00:00:07"/>
    <n v="0"/>
    <n v="0"/>
    <n v="40"/>
    <n v="40"/>
    <m/>
    <s v="Thursday"/>
    <d v="2022-12-29T00:00:00"/>
    <d v="1899-12-30T11:00:00"/>
    <s v="AM"/>
    <s v="00:13:10"/>
    <s v="00:00:06"/>
    <n v="100"/>
    <n v="40"/>
    <m/>
    <n v="31599.999999999996"/>
    <n v="789.99999999999989"/>
    <n v="6"/>
    <n v="1"/>
  </r>
  <r>
    <s v="Thursday"/>
    <x v="19"/>
    <d v="2022-12-29T00:00:00"/>
    <d v="1899-12-30T12:00:00"/>
    <s v="PM"/>
    <s v="00:00:35"/>
    <n v="5"/>
    <n v="2"/>
    <n v="34"/>
    <n v="36"/>
    <m/>
    <s v="Thursday"/>
    <d v="2022-12-29T00:00:00"/>
    <d v="1899-12-30T12:00:00"/>
    <s v="PM"/>
    <s v="00:19:51"/>
    <s v="00:00:34"/>
    <n v="85.294117647058826"/>
    <n v="34"/>
    <m/>
    <n v="42876.000000000007"/>
    <n v="1191.0000000000002"/>
    <n v="34"/>
    <n v="0.85294117647058831"/>
  </r>
  <r>
    <s v="Thursday"/>
    <x v="19"/>
    <d v="2022-12-29T00:00:00"/>
    <d v="1899-12-30T01:00:00"/>
    <s v="PM"/>
    <s v="00:00:13"/>
    <n v="2"/>
    <n v="0"/>
    <n v="37"/>
    <n v="37"/>
    <m/>
    <s v="Thursday"/>
    <d v="2022-12-29T00:00:00"/>
    <d v="1899-12-30T01:00:00"/>
    <s v="PM"/>
    <s v="00:14:12"/>
    <s v="00:00:12"/>
    <n v="94.594594594594597"/>
    <n v="37"/>
    <m/>
    <n v="31523.999999999996"/>
    <n v="851.99999999999989"/>
    <n v="12"/>
    <n v="0.94594594594594594"/>
  </r>
  <r>
    <s v="Thursday"/>
    <x v="19"/>
    <d v="2022-12-29T00:00:00"/>
    <d v="1899-12-30T02:00:00"/>
    <s v="PM"/>
    <s v="00:00:17"/>
    <n v="2"/>
    <n v="2"/>
    <n v="40"/>
    <n v="42"/>
    <m/>
    <s v="Thursday"/>
    <d v="2022-12-29T00:00:00"/>
    <d v="1899-12-30T02:00:00"/>
    <s v="PM"/>
    <s v="00:12:58"/>
    <s v="00:00:16"/>
    <n v="92.5"/>
    <n v="40"/>
    <m/>
    <n v="32676"/>
    <n v="778"/>
    <n v="16"/>
    <n v="0.92500000000000004"/>
  </r>
  <r>
    <s v="Thursday"/>
    <x v="19"/>
    <d v="2022-12-29T00:00:00"/>
    <d v="1899-12-30T03:00:00"/>
    <s v="PM"/>
    <s v="00:02:00"/>
    <n v="5"/>
    <n v="2"/>
    <n v="34"/>
    <n v="36"/>
    <m/>
    <s v="Thursday"/>
    <d v="2022-12-29T00:00:00"/>
    <d v="1899-12-30T03:00:00"/>
    <s v="PM"/>
    <s v="00:12:44"/>
    <s v="00:01:59"/>
    <n v="55.882352941176471"/>
    <n v="34"/>
    <m/>
    <n v="27503.999999999996"/>
    <n v="763.99999999999989"/>
    <n v="118.99999999999999"/>
    <n v="0.55882352941176472"/>
  </r>
  <r>
    <s v="Thursday"/>
    <x v="19"/>
    <d v="2022-12-29T00:00:00"/>
    <d v="1899-12-30T04:00:00"/>
    <s v="PM"/>
    <s v="00:00:11"/>
    <n v="2"/>
    <n v="0"/>
    <n v="26"/>
    <n v="26"/>
    <m/>
    <s v="Thursday"/>
    <d v="2022-12-29T00:00:00"/>
    <d v="1899-12-30T04:00:00"/>
    <s v="PM"/>
    <s v="00:10:18"/>
    <s v="00:00:10"/>
    <n v="96.15384615384616"/>
    <n v="26"/>
    <m/>
    <n v="16068.000000000004"/>
    <n v="618.00000000000011"/>
    <n v="10"/>
    <n v="0.96153846153846156"/>
  </r>
  <r>
    <s v="Friday"/>
    <x v="20"/>
    <d v="2022-12-30T00:00:00"/>
    <d v="1899-12-30T08:00:00"/>
    <s v="AM"/>
    <s v="00:00:16"/>
    <n v="3"/>
    <n v="3"/>
    <n v="6"/>
    <n v="9"/>
    <m/>
    <s v="Friday"/>
    <d v="2022-12-30T00:00:00"/>
    <d v="1899-12-30T08:00:00"/>
    <s v="AM"/>
    <s v="00:14:50"/>
    <s v="00:00:15"/>
    <n v="83.333333333333343"/>
    <n v="6"/>
    <m/>
    <n v="8010.0000000000009"/>
    <n v="890.00000000000011"/>
    <n v="15"/>
    <n v="0.83333333333333348"/>
  </r>
  <r>
    <s v="Friday"/>
    <x v="20"/>
    <d v="2022-12-30T00:00:00"/>
    <d v="1899-12-30T09:00:00"/>
    <s v="AM"/>
    <s v="00:00:24"/>
    <n v="5"/>
    <n v="0"/>
    <n v="22"/>
    <n v="22"/>
    <m/>
    <s v="Friday"/>
    <d v="2022-12-30T00:00:00"/>
    <d v="1899-12-30T09:00:00"/>
    <s v="AM"/>
    <s v="00:23:46"/>
    <s v="00:00:23"/>
    <n v="86.36363636363636"/>
    <n v="22"/>
    <m/>
    <n v="31372"/>
    <n v="1426"/>
    <n v="23"/>
    <n v="0.86363636363636365"/>
  </r>
  <r>
    <s v="Friday"/>
    <x v="20"/>
    <d v="2022-12-30T00:00:00"/>
    <d v="1899-12-30T10:00:00"/>
    <s v="AM"/>
    <s v="00:00:23"/>
    <n v="4"/>
    <n v="0"/>
    <n v="27"/>
    <n v="27"/>
    <m/>
    <s v="Friday"/>
    <d v="2022-12-30T00:00:00"/>
    <d v="1899-12-30T10:00:00"/>
    <s v="AM"/>
    <s v="00:15:24"/>
    <s v="00:00:22"/>
    <n v="88.888888888888886"/>
    <n v="27"/>
    <m/>
    <n v="24948"/>
    <n v="924"/>
    <n v="21.999999999999996"/>
    <n v="0.88888888888888884"/>
  </r>
  <r>
    <s v="Friday"/>
    <x v="20"/>
    <d v="2022-12-30T00:00:00"/>
    <d v="1899-12-30T11:00:00"/>
    <s v="AM"/>
    <s v="00:00:12"/>
    <n v="2"/>
    <n v="0"/>
    <n v="31"/>
    <n v="31"/>
    <m/>
    <s v="Friday"/>
    <d v="2022-12-30T00:00:00"/>
    <d v="1899-12-30T11:00:00"/>
    <s v="AM"/>
    <s v="00:13:23"/>
    <s v="00:00:11"/>
    <n v="93.548387096774192"/>
    <n v="31"/>
    <m/>
    <n v="24893"/>
    <n v="803"/>
    <n v="10.999999999999998"/>
    <n v="0.93548387096774188"/>
  </r>
  <r>
    <s v="Friday"/>
    <x v="20"/>
    <d v="2022-12-30T00:00:00"/>
    <d v="1899-12-30T12:00:00"/>
    <s v="PM"/>
    <s v="00:00:13"/>
    <n v="4"/>
    <n v="1"/>
    <n v="35"/>
    <n v="36"/>
    <m/>
    <s v="Friday"/>
    <d v="2022-12-30T00:00:00"/>
    <d v="1899-12-30T12:00:00"/>
    <s v="PM"/>
    <s v="00:13:36"/>
    <s v="00:00:12"/>
    <n v="91.428571428571431"/>
    <n v="35"/>
    <m/>
    <n v="29376"/>
    <n v="816"/>
    <n v="12"/>
    <n v="0.91428571428571426"/>
  </r>
  <r>
    <s v="Friday"/>
    <x v="20"/>
    <d v="2022-12-30T00:00:00"/>
    <d v="1899-12-30T01:00:00"/>
    <s v="PM"/>
    <s v="00:00:27"/>
    <n v="2"/>
    <n v="0"/>
    <n v="25"/>
    <n v="25"/>
    <m/>
    <s v="Friday"/>
    <d v="2022-12-30T00:00:00"/>
    <d v="1899-12-30T01:00:00"/>
    <s v="PM"/>
    <s v="00:20:33"/>
    <s v="00:00:26"/>
    <n v="84"/>
    <n v="25"/>
    <m/>
    <n v="30825.000000000007"/>
    <n v="1233.0000000000002"/>
    <n v="26.000000000000004"/>
    <n v="0.84"/>
  </r>
  <r>
    <s v="Friday"/>
    <x v="20"/>
    <d v="2022-12-30T00:00:00"/>
    <d v="1899-12-30T02:00:00"/>
    <s v="PM"/>
    <s v="00:00:08"/>
    <n v="0"/>
    <n v="0"/>
    <n v="22"/>
    <n v="22"/>
    <m/>
    <s v="Friday"/>
    <d v="2022-12-30T00:00:00"/>
    <d v="1899-12-30T02:00:00"/>
    <s v="PM"/>
    <s v="00:14:57"/>
    <s v="00:00:07"/>
    <n v="100"/>
    <n v="22"/>
    <m/>
    <n v="19733.999999999996"/>
    <n v="896.99999999999989"/>
    <n v="7"/>
    <n v="1"/>
  </r>
  <r>
    <s v="Friday"/>
    <x v="20"/>
    <d v="2022-12-30T00:00:00"/>
    <d v="1899-12-30T03:00:00"/>
    <s v="PM"/>
    <s v="00:00:08"/>
    <n v="1"/>
    <n v="0"/>
    <n v="23"/>
    <n v="23"/>
    <m/>
    <s v="Friday"/>
    <d v="2022-12-30T00:00:00"/>
    <d v="1899-12-30T03:00:00"/>
    <s v="PM"/>
    <s v="00:16:05"/>
    <s v="00:00:07"/>
    <n v="100"/>
    <n v="23"/>
    <m/>
    <n v="22195"/>
    <n v="965"/>
    <n v="7"/>
    <n v="1"/>
  </r>
  <r>
    <s v="Friday"/>
    <x v="20"/>
    <d v="2022-12-30T00:00:00"/>
    <d v="1899-12-30T04:00:00"/>
    <s v="PM"/>
    <s v="00:00:11"/>
    <n v="3"/>
    <n v="0"/>
    <n v="27"/>
    <n v="27"/>
    <m/>
    <s v="Friday"/>
    <d v="2022-12-30T00:00:00"/>
    <d v="1899-12-30T04:00:00"/>
    <s v="PM"/>
    <s v="00:12:02"/>
    <s v="00:00:10"/>
    <n v="92.592592592592595"/>
    <n v="27"/>
    <m/>
    <n v="19493.999999999996"/>
    <n v="721.99999999999989"/>
    <n v="10"/>
    <n v="0.92592592592592593"/>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s v="Saturday"/>
    <m/>
    <m/>
    <m/>
    <m/>
    <m/>
    <m/>
    <m/>
    <m/>
    <n v="0"/>
    <n v="0"/>
    <n v="0"/>
    <n v="0"/>
  </r>
  <r>
    <s v="Saturday"/>
    <x v="21"/>
    <m/>
    <m/>
    <m/>
    <m/>
    <m/>
    <m/>
    <m/>
    <m/>
    <m/>
    <m/>
    <m/>
    <m/>
    <m/>
    <m/>
    <m/>
    <m/>
    <m/>
    <m/>
    <m/>
    <m/>
    <m/>
    <m/>
  </r>
  <r>
    <s v="Saturday"/>
    <x v="21"/>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r>
    <m/>
    <x v="22"/>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6">
  <r>
    <x v="0"/>
    <d v="2022-12-01T00:00:00"/>
    <x v="0"/>
    <s v="AM"/>
    <s v="00:09:00"/>
    <s v="00:03:36"/>
    <n v="40"/>
    <n v="25"/>
    <m/>
    <n v="13500"/>
    <n v="540"/>
    <n v="216"/>
    <n v="0.4"/>
  </r>
  <r>
    <x v="0"/>
    <d v="2022-12-01T00:00:00"/>
    <x v="1"/>
    <s v="AM"/>
    <s v="00:13:30"/>
    <s v="00:04:30"/>
    <n v="12.121212121212121"/>
    <n v="33"/>
    <m/>
    <n v="27540"/>
    <n v="810"/>
    <n v="270"/>
    <n v="0.12121212121212122"/>
  </r>
  <r>
    <x v="0"/>
    <d v="2022-12-01T00:00:00"/>
    <x v="2"/>
    <s v="AM"/>
    <s v="00:13:06"/>
    <s v="00:00:17"/>
    <n v="83.333333333333343"/>
    <n v="30"/>
    <m/>
    <n v="23580"/>
    <n v="786"/>
    <n v="17"/>
    <n v="0.83333333333333348"/>
  </r>
  <r>
    <x v="0"/>
    <d v="2022-12-01T00:00:00"/>
    <x v="3"/>
    <s v="AM"/>
    <s v="00:19:55"/>
    <s v="00:00:11"/>
    <n v="92.857142857142861"/>
    <n v="28"/>
    <m/>
    <n v="33460.000000000007"/>
    <n v="1195.0000000000002"/>
    <n v="10.999999999999998"/>
    <n v="0.9285714285714286"/>
  </r>
  <r>
    <x v="0"/>
    <d v="2022-12-01T00:00:00"/>
    <x v="4"/>
    <s v="PM"/>
    <s v="00:14:31"/>
    <s v="00:02:11"/>
    <n v="60"/>
    <n v="50"/>
    <m/>
    <n v="44421"/>
    <n v="871"/>
    <n v="131"/>
    <n v="0.6"/>
  </r>
  <r>
    <x v="0"/>
    <d v="2022-12-01T00:00:00"/>
    <x v="5"/>
    <s v="PM"/>
    <s v="00:16:15"/>
    <s v="00:00:24"/>
    <n v="86.111111111111114"/>
    <n v="36"/>
    <m/>
    <n v="35100"/>
    <n v="975"/>
    <n v="24"/>
    <n v="0.86111111111111116"/>
  </r>
  <r>
    <x v="0"/>
    <d v="2022-12-01T00:00:00"/>
    <x v="6"/>
    <s v="PM"/>
    <s v="00:13:19"/>
    <s v="00:00:13"/>
    <n v="91.891891891891902"/>
    <n v="37"/>
    <m/>
    <n v="29563"/>
    <n v="799"/>
    <n v="13.000000000000002"/>
    <n v="0.91891891891891897"/>
  </r>
  <r>
    <x v="0"/>
    <d v="2022-12-01T00:00:00"/>
    <x v="7"/>
    <s v="PM"/>
    <s v="00:13:30"/>
    <s v="00:00:22"/>
    <n v="78.571428571428569"/>
    <n v="28"/>
    <m/>
    <n v="22680"/>
    <n v="810"/>
    <n v="21.999999999999996"/>
    <n v="0.7857142857142857"/>
  </r>
  <r>
    <x v="0"/>
    <d v="2022-12-01T00:00:00"/>
    <x v="8"/>
    <s v="PM"/>
    <s v="00:15:30"/>
    <s v="00:02:29"/>
    <n v="64.285714285714292"/>
    <n v="28"/>
    <m/>
    <n v="26040.000000000004"/>
    <n v="930.00000000000011"/>
    <n v="149.00000000000003"/>
    <n v="0.6428571428571429"/>
  </r>
  <r>
    <x v="1"/>
    <d v="2022-12-02T00:00:00"/>
    <x v="0"/>
    <s v="AM"/>
    <s v="00:17:52"/>
    <s v="00:00:11"/>
    <n v="95.833333333333343"/>
    <n v="24"/>
    <m/>
    <n v="25728"/>
    <n v="1072"/>
    <n v="10.999999999999998"/>
    <n v="0.95833333333333348"/>
  </r>
  <r>
    <x v="1"/>
    <d v="2022-12-02T00:00:00"/>
    <x v="1"/>
    <s v="AM"/>
    <s v="00:11:24"/>
    <s v="00:00:45"/>
    <n v="74.074074074074076"/>
    <n v="27"/>
    <m/>
    <n v="18468.000000000004"/>
    <n v="684.00000000000011"/>
    <n v="45"/>
    <n v="0.74074074074074081"/>
  </r>
  <r>
    <x v="1"/>
    <d v="2022-12-02T00:00:00"/>
    <x v="2"/>
    <s v="AM"/>
    <s v="00:13:33"/>
    <s v="00:01:03"/>
    <n v="82.222222222222214"/>
    <n v="45"/>
    <m/>
    <n v="36585.000000000007"/>
    <n v="813.00000000000011"/>
    <n v="63"/>
    <n v="0.82222222222222219"/>
  </r>
  <r>
    <x v="1"/>
    <d v="2022-12-02T00:00:00"/>
    <x v="3"/>
    <s v="AM"/>
    <s v="00:14:51"/>
    <s v="00:00:20"/>
    <n v="88.235294117647058"/>
    <n v="34"/>
    <m/>
    <n v="30294"/>
    <n v="891"/>
    <n v="20"/>
    <n v="0.88235294117647056"/>
  </r>
  <r>
    <x v="1"/>
    <d v="2022-12-02T00:00:00"/>
    <x v="4"/>
    <s v="PM"/>
    <s v="00:15:52"/>
    <s v="00:08:22"/>
    <n v="30"/>
    <n v="30"/>
    <m/>
    <n v="29511.999999999996"/>
    <n v="951.99999999999989"/>
    <n v="502.00000000000006"/>
    <n v="0.3"/>
  </r>
  <r>
    <x v="1"/>
    <d v="2022-12-02T00:00:00"/>
    <x v="5"/>
    <s v="PM"/>
    <s v="00:14:31"/>
    <s v="00:00:26"/>
    <n v="76"/>
    <n v="25"/>
    <m/>
    <n v="22646"/>
    <n v="871"/>
    <n v="26.000000000000004"/>
    <n v="0.76"/>
  </r>
  <r>
    <x v="1"/>
    <d v="2022-12-02T00:00:00"/>
    <x v="6"/>
    <s v="PM"/>
    <s v="00:16:43"/>
    <s v="00:00:16"/>
    <n v="84.848484848484844"/>
    <n v="33"/>
    <m/>
    <n v="33099"/>
    <n v="1003"/>
    <n v="16"/>
    <n v="0.8484848484848484"/>
  </r>
  <r>
    <x v="1"/>
    <d v="2022-12-02T00:00:00"/>
    <x v="7"/>
    <s v="PM"/>
    <s v="00:13:28"/>
    <s v="00:00:11"/>
    <n v="92.592592592592595"/>
    <n v="27"/>
    <m/>
    <n v="21816.000000000004"/>
    <n v="808.00000000000011"/>
    <n v="10.999999999999998"/>
    <n v="0.92592592592592593"/>
  </r>
  <r>
    <x v="1"/>
    <d v="2022-12-02T00:00:00"/>
    <x v="8"/>
    <s v="PM"/>
    <s v="00:13:18"/>
    <s v="00:01:41"/>
    <n v="78.94736842105263"/>
    <n v="19"/>
    <m/>
    <n v="17556"/>
    <n v="798"/>
    <n v="101.00000000000001"/>
    <n v="0.78947368421052633"/>
  </r>
  <r>
    <x v="2"/>
    <d v="2022-12-05T00:00:00"/>
    <x v="0"/>
    <s v="AM"/>
    <s v="00:11:24"/>
    <s v="00:05:06"/>
    <n v="40.74074074074074"/>
    <n v="27"/>
    <m/>
    <n v="19152.000000000004"/>
    <n v="684.00000000000011"/>
    <n v="306"/>
    <n v="0.40740740740740738"/>
  </r>
  <r>
    <x v="2"/>
    <d v="2022-12-05T00:00:00"/>
    <x v="1"/>
    <s v="AM"/>
    <s v="00:15:58"/>
    <s v="00:06:48"/>
    <n v="20.588235294117645"/>
    <n v="34"/>
    <m/>
    <n v="34488.000000000007"/>
    <n v="958.00000000000011"/>
    <n v="408"/>
    <n v="0.20588235294117646"/>
  </r>
  <r>
    <x v="2"/>
    <d v="2022-12-05T00:00:00"/>
    <x v="2"/>
    <s v="AM"/>
    <s v="00:12:23"/>
    <s v="00:05:14"/>
    <n v="38.888888888888893"/>
    <n v="36"/>
    <m/>
    <n v="29719.999999999996"/>
    <n v="742.99999999999989"/>
    <n v="314"/>
    <n v="0.38888888888888895"/>
  </r>
  <r>
    <x v="2"/>
    <d v="2022-12-05T00:00:00"/>
    <x v="3"/>
    <s v="AM"/>
    <s v="00:11:31"/>
    <s v="00:01:16"/>
    <n v="64.406779661016941"/>
    <n v="59"/>
    <m/>
    <n v="41460"/>
    <n v="691"/>
    <n v="76"/>
    <n v="0.64406779661016944"/>
  </r>
  <r>
    <x v="2"/>
    <d v="2022-12-05T00:00:00"/>
    <x v="4"/>
    <s v="PM"/>
    <s v="00:13:28"/>
    <s v="00:02:31"/>
    <n v="42.222222222222221"/>
    <n v="45"/>
    <m/>
    <n v="37168.000000000007"/>
    <n v="808.00000000000011"/>
    <n v="151"/>
    <n v="0.42222222222222222"/>
  </r>
  <r>
    <x v="2"/>
    <d v="2022-12-05T00:00:00"/>
    <x v="5"/>
    <s v="PM"/>
    <s v="00:13:23"/>
    <s v="00:07:11"/>
    <n v="22.727272727272727"/>
    <n v="44"/>
    <m/>
    <n v="40953"/>
    <n v="803"/>
    <n v="431.00000000000006"/>
    <n v="0.22727272727272727"/>
  </r>
  <r>
    <x v="2"/>
    <d v="2022-12-05T00:00:00"/>
    <x v="6"/>
    <s v="PM"/>
    <s v="00:14:45"/>
    <s v="00:08:39"/>
    <n v="13.333333333333334"/>
    <n v="45"/>
    <m/>
    <n v="40710"/>
    <n v="885"/>
    <n v="519"/>
    <n v="0.13333333333333333"/>
  </r>
  <r>
    <x v="2"/>
    <d v="2022-12-05T00:00:00"/>
    <x v="7"/>
    <s v="PM"/>
    <s v="00:17:03"/>
    <s v="00:00:37"/>
    <n v="84.848484848484844"/>
    <n v="33"/>
    <m/>
    <n v="33759"/>
    <n v="1023"/>
    <n v="37"/>
    <n v="0.8484848484848484"/>
  </r>
  <r>
    <x v="2"/>
    <d v="2022-12-05T00:00:00"/>
    <x v="8"/>
    <s v="PM"/>
    <s v="00:11:45"/>
    <s v="00:00:23"/>
    <n v="82.758620689655174"/>
    <n v="29"/>
    <m/>
    <n v="20445"/>
    <n v="705"/>
    <n v="23"/>
    <n v="0.82758620689655171"/>
  </r>
  <r>
    <x v="2"/>
    <d v="2022-12-05T00:00:00"/>
    <x v="9"/>
    <s v="PM"/>
    <s v="00:22:00"/>
    <s v="00:00:05"/>
    <n v="100"/>
    <n v="1"/>
    <m/>
    <n v="1320"/>
    <n v="1320"/>
    <n v="5"/>
    <n v="1"/>
  </r>
  <r>
    <x v="3"/>
    <d v="2022-12-06T00:00:00"/>
    <x v="0"/>
    <s v="AM"/>
    <s v="00:14:00"/>
    <s v="00:00:44"/>
    <n v="61.53846153846154"/>
    <n v="13"/>
    <m/>
    <n v="10920"/>
    <n v="840"/>
    <n v="43.999999999999993"/>
    <n v="0.61538461538461542"/>
  </r>
  <r>
    <x v="3"/>
    <d v="2022-12-06T00:00:00"/>
    <x v="1"/>
    <s v="AM"/>
    <s v="00:13:00"/>
    <s v="00:03:02"/>
    <n v="62.068965517241381"/>
    <n v="29"/>
    <m/>
    <n v="22620.000000000004"/>
    <n v="780.00000000000011"/>
    <n v="181.99999999999997"/>
    <n v="0.62068965517241381"/>
  </r>
  <r>
    <x v="3"/>
    <d v="2022-12-06T00:00:00"/>
    <x v="2"/>
    <s v="AM"/>
    <s v="00:16:18"/>
    <s v="00:02:27"/>
    <n v="50"/>
    <n v="38"/>
    <m/>
    <n v="39120"/>
    <n v="978"/>
    <n v="147.00000000000003"/>
    <n v="0.5"/>
  </r>
  <r>
    <x v="3"/>
    <d v="2022-12-06T00:00:00"/>
    <x v="3"/>
    <s v="AM"/>
    <s v="00:13:14"/>
    <s v="00:00:23"/>
    <n v="83.78378378378379"/>
    <n v="37"/>
    <m/>
    <n v="29377.999999999996"/>
    <n v="793.99999999999989"/>
    <n v="23"/>
    <n v="0.83783783783783794"/>
  </r>
  <r>
    <x v="3"/>
    <d v="2022-12-06T00:00:00"/>
    <x v="4"/>
    <s v="PM"/>
    <s v="00:12:40"/>
    <s v="00:00:07"/>
    <n v="97.560975609756099"/>
    <n v="41"/>
    <m/>
    <n v="31160"/>
    <n v="760"/>
    <n v="7"/>
    <n v="0.97560975609756095"/>
  </r>
  <r>
    <x v="3"/>
    <d v="2022-12-06T00:00:00"/>
    <x v="5"/>
    <s v="PM"/>
    <s v="00:15:45"/>
    <s v="00:00:11"/>
    <n v="96.551724137931032"/>
    <n v="29"/>
    <m/>
    <n v="27405.000000000004"/>
    <n v="945.00000000000011"/>
    <n v="10.999999999999998"/>
    <n v="0.96551724137931028"/>
  </r>
  <r>
    <x v="3"/>
    <d v="2022-12-06T00:00:00"/>
    <x v="6"/>
    <s v="PM"/>
    <s v="00:15:07"/>
    <s v="00:00:26"/>
    <n v="91.304347826086953"/>
    <n v="23"/>
    <m/>
    <n v="20861.000000000004"/>
    <n v="907.00000000000011"/>
    <n v="26.000000000000004"/>
    <n v="0.91304347826086951"/>
  </r>
  <r>
    <x v="3"/>
    <d v="2022-12-06T00:00:00"/>
    <x v="7"/>
    <s v="PM"/>
    <s v="00:14:15"/>
    <s v="00:02:48"/>
    <n v="56.410256410256409"/>
    <n v="39"/>
    <m/>
    <n v="33345"/>
    <n v="855"/>
    <n v="167.99999999999997"/>
    <n v="0.5641025641025641"/>
  </r>
  <r>
    <x v="3"/>
    <d v="2022-12-06T00:00:00"/>
    <x v="8"/>
    <s v="PM"/>
    <s v="00:13:04"/>
    <s v="00:01:55"/>
    <n v="72.41379310344827"/>
    <n v="29"/>
    <m/>
    <n v="22735.999999999996"/>
    <n v="783.99999999999989"/>
    <n v="115"/>
    <n v="0.72413793103448265"/>
  </r>
  <r>
    <x v="4"/>
    <d v="2022-12-07T00:00:00"/>
    <x v="0"/>
    <s v="AM"/>
    <s v="00:13:00"/>
    <s v="00:03:23"/>
    <n v="50"/>
    <n v="14"/>
    <m/>
    <n v="11700.000000000002"/>
    <n v="780.00000000000011"/>
    <n v="203"/>
    <n v="0.5"/>
  </r>
  <r>
    <x v="4"/>
    <d v="2022-12-07T00:00:00"/>
    <x v="1"/>
    <s v="AM"/>
    <s v="00:20:15"/>
    <s v="00:00:18"/>
    <n v="81.25"/>
    <n v="16"/>
    <m/>
    <n v="19440"/>
    <n v="1215"/>
    <n v="18"/>
    <n v="0.8125"/>
  </r>
  <r>
    <x v="4"/>
    <d v="2022-12-07T00:00:00"/>
    <x v="2"/>
    <s v="AM"/>
    <s v="00:13:05"/>
    <s v="00:01:29"/>
    <n v="55.882352941176471"/>
    <n v="34"/>
    <m/>
    <n v="26690"/>
    <n v="785"/>
    <n v="89"/>
    <n v="0.55882352941176472"/>
  </r>
  <r>
    <x v="4"/>
    <d v="2022-12-07T00:00:00"/>
    <x v="3"/>
    <s v="AM"/>
    <s v="00:17:07"/>
    <s v="00:00:13"/>
    <n v="93.548387096774192"/>
    <n v="31"/>
    <m/>
    <n v="31837.000000000007"/>
    <n v="1027.0000000000002"/>
    <n v="13.000000000000002"/>
    <n v="0.93548387096774188"/>
  </r>
  <r>
    <x v="4"/>
    <d v="2022-12-07T00:00:00"/>
    <x v="4"/>
    <s v="PM"/>
    <s v="00:14:30"/>
    <s v="00:00:44"/>
    <n v="75"/>
    <n v="40"/>
    <m/>
    <n v="34800"/>
    <n v="870"/>
    <n v="43.999999999999993"/>
    <n v="0.75"/>
  </r>
  <r>
    <x v="4"/>
    <d v="2022-12-07T00:00:00"/>
    <x v="5"/>
    <s v="PM"/>
    <s v="00:13:56"/>
    <s v="00:00:16"/>
    <n v="92.307692307692307"/>
    <n v="39"/>
    <m/>
    <n v="33440"/>
    <n v="836"/>
    <n v="16"/>
    <n v="0.92307692307692302"/>
  </r>
  <r>
    <x v="4"/>
    <d v="2022-12-07T00:00:00"/>
    <x v="6"/>
    <s v="PM"/>
    <s v="00:14:54"/>
    <s v="00:00:12"/>
    <n v="94.285714285714278"/>
    <n v="35"/>
    <m/>
    <n v="31290.000000000004"/>
    <n v="894.00000000000011"/>
    <n v="12"/>
    <n v="0.94285714285714273"/>
  </r>
  <r>
    <x v="4"/>
    <d v="2022-12-07T00:00:00"/>
    <x v="7"/>
    <s v="PM"/>
    <s v="00:13:52"/>
    <s v="00:00:54"/>
    <n v="75"/>
    <n v="32"/>
    <m/>
    <n v="26624.000000000004"/>
    <n v="832.00000000000011"/>
    <n v="54"/>
    <n v="0.75"/>
  </r>
  <r>
    <x v="4"/>
    <d v="2022-12-07T00:00:00"/>
    <x v="8"/>
    <s v="PM"/>
    <s v="00:17:55"/>
    <s v="00:00:19"/>
    <n v="78.571428571428569"/>
    <n v="14"/>
    <m/>
    <n v="15050"/>
    <n v="1075"/>
    <n v="19"/>
    <n v="0.7857142857142857"/>
  </r>
  <r>
    <x v="0"/>
    <d v="2022-12-08T00:00:00"/>
    <x v="0"/>
    <s v="AM"/>
    <s v="00:15:42"/>
    <s v="00:00:33"/>
    <n v="78.571428571428569"/>
    <n v="14"/>
    <m/>
    <n v="13187.999999999998"/>
    <n v="941.99999999999989"/>
    <n v="33"/>
    <n v="0.7857142857142857"/>
  </r>
  <r>
    <x v="0"/>
    <d v="2022-12-08T00:00:00"/>
    <x v="1"/>
    <s v="AM"/>
    <s v="00:18:42"/>
    <s v="00:03:15"/>
    <n v="44.444444444444443"/>
    <n v="27"/>
    <m/>
    <n v="31415.999999999993"/>
    <n v="1121.9999999999998"/>
    <n v="195.00000000000003"/>
    <n v="0.44444444444444442"/>
  </r>
  <r>
    <x v="0"/>
    <d v="2022-12-08T00:00:00"/>
    <x v="2"/>
    <s v="AM"/>
    <s v="00:16:11"/>
    <s v="00:01:15"/>
    <n v="70.370370370370367"/>
    <n v="27"/>
    <m/>
    <n v="26217.000000000004"/>
    <n v="971.00000000000011"/>
    <n v="75"/>
    <n v="0.70370370370370372"/>
  </r>
  <r>
    <x v="0"/>
    <d v="2022-12-08T00:00:00"/>
    <x v="3"/>
    <s v="AM"/>
    <s v="00:17:05"/>
    <s v="00:00:15"/>
    <n v="92.682926829268297"/>
    <n v="41"/>
    <m/>
    <n v="42025"/>
    <n v="1025"/>
    <n v="15"/>
    <n v="0.92682926829268297"/>
  </r>
  <r>
    <x v="0"/>
    <d v="2022-12-08T00:00:00"/>
    <x v="4"/>
    <s v="PM"/>
    <s v="00:13:42"/>
    <s v="00:00:13"/>
    <n v="95.238095238095227"/>
    <n v="21"/>
    <m/>
    <n v="17262"/>
    <n v="822"/>
    <n v="13.000000000000002"/>
    <n v="0.95238095238095222"/>
  </r>
  <r>
    <x v="0"/>
    <d v="2022-12-08T00:00:00"/>
    <x v="5"/>
    <s v="PM"/>
    <s v="00:16:10"/>
    <s v="00:00:20"/>
    <n v="88.888888888888886"/>
    <n v="36"/>
    <m/>
    <n v="34920.000000000007"/>
    <n v="970.00000000000023"/>
    <n v="20"/>
    <n v="0.88888888888888884"/>
  </r>
  <r>
    <x v="0"/>
    <d v="2022-12-08T00:00:00"/>
    <x v="6"/>
    <s v="PM"/>
    <s v="00:13:49"/>
    <s v="00:00:11"/>
    <n v="92.857142857142861"/>
    <n v="28"/>
    <m/>
    <n v="23212"/>
    <n v="829"/>
    <n v="10.999999999999998"/>
    <n v="0.9285714285714286"/>
  </r>
  <r>
    <x v="0"/>
    <d v="2022-12-08T00:00:00"/>
    <x v="7"/>
    <s v="PM"/>
    <s v="00:14:45"/>
    <s v="00:00:06"/>
    <n v="100"/>
    <n v="24"/>
    <m/>
    <n v="21240"/>
    <n v="885"/>
    <n v="6"/>
    <n v="1"/>
  </r>
  <r>
    <x v="0"/>
    <d v="2022-12-08T00:00:00"/>
    <x v="8"/>
    <s v="PM"/>
    <s v="00:18:00"/>
    <s v="00:00:22"/>
    <n v="78.260869565217391"/>
    <n v="23"/>
    <m/>
    <n v="24840"/>
    <n v="1080"/>
    <n v="21.999999999999996"/>
    <n v="0.78260869565217395"/>
  </r>
  <r>
    <x v="1"/>
    <d v="2022-12-09T00:00:00"/>
    <x v="0"/>
    <s v="AM"/>
    <s v="00:17:18"/>
    <s v="00:00:11"/>
    <n v="95"/>
    <n v="20"/>
    <m/>
    <n v="20760"/>
    <n v="1038"/>
    <n v="10.999999999999998"/>
    <n v="0.95"/>
  </r>
  <r>
    <x v="1"/>
    <d v="2022-12-09T00:00:00"/>
    <x v="1"/>
    <s v="AM"/>
    <s v="00:11:01"/>
    <s v="00:00:08"/>
    <n v="96.969696969696969"/>
    <n v="33"/>
    <m/>
    <n v="21813"/>
    <n v="661"/>
    <n v="8"/>
    <n v="0.96969696969696972"/>
  </r>
  <r>
    <x v="1"/>
    <d v="2022-12-09T00:00:00"/>
    <x v="2"/>
    <s v="AM"/>
    <s v="00:12:41"/>
    <s v="00:00:11"/>
    <n v="90.625"/>
    <n v="32"/>
    <m/>
    <n v="25113"/>
    <n v="761"/>
    <n v="10.999999999999998"/>
    <n v="0.90625"/>
  </r>
  <r>
    <x v="1"/>
    <d v="2022-12-09T00:00:00"/>
    <x v="3"/>
    <s v="AM"/>
    <s v="00:16:51"/>
    <s v="00:00:14"/>
    <n v="86.111111111111114"/>
    <n v="36"/>
    <m/>
    <n v="36396.000000000007"/>
    <n v="1011.0000000000002"/>
    <n v="14"/>
    <n v="0.86111111111111116"/>
  </r>
  <r>
    <x v="1"/>
    <d v="2022-12-09T00:00:00"/>
    <x v="4"/>
    <s v="PM"/>
    <s v="00:14:28"/>
    <s v="00:00:32"/>
    <n v="88.888888888888886"/>
    <n v="36"/>
    <m/>
    <n v="31248"/>
    <n v="868"/>
    <n v="32"/>
    <n v="0.88888888888888884"/>
  </r>
  <r>
    <x v="1"/>
    <d v="2022-12-09T00:00:00"/>
    <x v="5"/>
    <s v="PM"/>
    <s v="00:12:48"/>
    <s v="00:00:22"/>
    <n v="83.78378378378379"/>
    <n v="37"/>
    <m/>
    <n v="28416"/>
    <n v="768"/>
    <n v="21.999999999999996"/>
    <n v="0.83783783783783794"/>
  </r>
  <r>
    <x v="1"/>
    <d v="2022-12-09T00:00:00"/>
    <x v="6"/>
    <s v="PM"/>
    <s v="00:19:16"/>
    <s v="00:00:11"/>
    <n v="92"/>
    <n v="25"/>
    <m/>
    <n v="28900"/>
    <n v="1156"/>
    <n v="10.999999999999998"/>
    <n v="0.92"/>
  </r>
  <r>
    <x v="1"/>
    <d v="2022-12-09T00:00:00"/>
    <x v="7"/>
    <s v="PM"/>
    <s v="00:15:28"/>
    <s v="00:00:09"/>
    <n v="93.103448275862064"/>
    <n v="29"/>
    <m/>
    <n v="26911.999999999996"/>
    <n v="927.99999999999989"/>
    <n v="9"/>
    <n v="0.93103448275862066"/>
  </r>
  <r>
    <x v="1"/>
    <d v="2022-12-09T00:00:00"/>
    <x v="8"/>
    <s v="PM"/>
    <s v="00:14:05"/>
    <s v="00:00:08"/>
    <n v="100"/>
    <n v="23"/>
    <m/>
    <n v="19435"/>
    <n v="845"/>
    <n v="8"/>
    <n v="1"/>
  </r>
  <r>
    <x v="2"/>
    <d v="2022-12-12T00:00:00"/>
    <x v="0"/>
    <s v="AM"/>
    <s v="00:14:18"/>
    <s v="00:00:11"/>
    <n v="93.75"/>
    <n v="16"/>
    <m/>
    <n v="13728"/>
    <n v="858"/>
    <n v="10.999999999999998"/>
    <n v="0.9375"/>
  </r>
  <r>
    <x v="2"/>
    <d v="2022-12-12T00:00:00"/>
    <x v="1"/>
    <s v="AM"/>
    <s v="00:15:47"/>
    <s v="00:00:14"/>
    <n v="88.235294117647058"/>
    <n v="34"/>
    <m/>
    <n v="32198"/>
    <n v="947"/>
    <n v="14"/>
    <n v="0.88235294117647056"/>
  </r>
  <r>
    <x v="2"/>
    <d v="2022-12-12T00:00:00"/>
    <x v="2"/>
    <s v="AM"/>
    <s v="00:13:47"/>
    <s v="00:00:15"/>
    <n v="89.189189189189193"/>
    <n v="37"/>
    <m/>
    <n v="30599"/>
    <n v="827"/>
    <n v="15"/>
    <n v="0.89189189189189189"/>
  </r>
  <r>
    <x v="2"/>
    <d v="2022-12-12T00:00:00"/>
    <x v="3"/>
    <s v="AM"/>
    <s v="00:13:38"/>
    <s v="00:00:37"/>
    <n v="54.838709677419352"/>
    <n v="31"/>
    <m/>
    <n v="26175.999999999996"/>
    <n v="817.99999999999989"/>
    <n v="37"/>
    <n v="0.54838709677419351"/>
  </r>
  <r>
    <x v="2"/>
    <d v="2022-12-12T00:00:00"/>
    <x v="4"/>
    <s v="PM"/>
    <s v="00:15:55"/>
    <s v="00:02:06"/>
    <n v="55.26315789473685"/>
    <n v="38"/>
    <m/>
    <n v="36290"/>
    <n v="955"/>
    <n v="126"/>
    <n v="0.55263157894736847"/>
  </r>
  <r>
    <x v="2"/>
    <d v="2022-12-12T00:00:00"/>
    <x v="5"/>
    <s v="PM"/>
    <s v="00:12:36"/>
    <s v="00:07:48"/>
    <n v="16.279069767441861"/>
    <n v="43"/>
    <m/>
    <n v="34019.999999999993"/>
    <n v="755.99999999999989"/>
    <n v="468"/>
    <n v="0.16279069767441862"/>
  </r>
  <r>
    <x v="2"/>
    <d v="2022-12-12T00:00:00"/>
    <x v="6"/>
    <s v="PM"/>
    <s v="00:18:16"/>
    <s v="00:00:31"/>
    <n v="76.744186046511629"/>
    <n v="43"/>
    <m/>
    <n v="47127.999999999993"/>
    <n v="1095.9999999999998"/>
    <n v="31.000000000000004"/>
    <n v="0.76744186046511631"/>
  </r>
  <r>
    <x v="2"/>
    <d v="2022-12-12T00:00:00"/>
    <x v="7"/>
    <s v="PM"/>
    <s v="00:15:56"/>
    <s v="00:00:37"/>
    <n v="80"/>
    <n v="35"/>
    <m/>
    <n v="33459.999999999993"/>
    <n v="955.99999999999989"/>
    <n v="37"/>
    <n v="0.8"/>
  </r>
  <r>
    <x v="2"/>
    <d v="2022-12-12T00:00:00"/>
    <x v="8"/>
    <s v="PM"/>
    <s v="00:11:07"/>
    <s v="00:00:13"/>
    <n v="91.304347826086953"/>
    <n v="23"/>
    <m/>
    <n v="15341"/>
    <n v="667"/>
    <n v="13.000000000000002"/>
    <n v="0.91304347826086951"/>
  </r>
  <r>
    <x v="2"/>
    <d v="2022-12-12T00:00:00"/>
    <x v="9"/>
    <s v="PM"/>
    <s v="00:22:00"/>
    <s v="00:00:05"/>
    <n v="100"/>
    <n v="1"/>
    <m/>
    <n v="1320"/>
    <n v="1320"/>
    <n v="5"/>
    <n v="1"/>
  </r>
  <r>
    <x v="3"/>
    <d v="2022-12-13T00:00:00"/>
    <x v="0"/>
    <s v="AM"/>
    <s v="00:10:54"/>
    <s v="00:00:21"/>
    <n v="80"/>
    <n v="10"/>
    <m/>
    <n v="6540"/>
    <n v="654"/>
    <n v="20.999999999999996"/>
    <n v="0.8"/>
  </r>
  <r>
    <x v="3"/>
    <d v="2022-12-13T00:00:00"/>
    <x v="1"/>
    <s v="AM"/>
    <s v="00:13:33"/>
    <s v="00:00:21"/>
    <n v="85"/>
    <n v="20"/>
    <m/>
    <n v="16260.000000000002"/>
    <n v="813.00000000000011"/>
    <n v="20.999999999999996"/>
    <n v="0.85"/>
  </r>
  <r>
    <x v="3"/>
    <d v="2022-12-13T00:00:00"/>
    <x v="2"/>
    <s v="AM"/>
    <s v="00:12:22"/>
    <s v="00:00:13"/>
    <n v="93.333333333333329"/>
    <n v="30"/>
    <m/>
    <n v="22259.999999999996"/>
    <n v="741.99999999999989"/>
    <n v="13.000000000000002"/>
    <n v="0.93333333333333324"/>
  </r>
  <r>
    <x v="3"/>
    <d v="2022-12-13T00:00:00"/>
    <x v="3"/>
    <s v="AM"/>
    <s v="00:16:36"/>
    <s v="00:00:08"/>
    <n v="96.15384615384616"/>
    <n v="26"/>
    <m/>
    <n v="25896"/>
    <n v="996"/>
    <n v="8"/>
    <n v="0.96153846153846156"/>
  </r>
  <r>
    <x v="3"/>
    <d v="2022-12-13T00:00:00"/>
    <x v="4"/>
    <s v="PM"/>
    <s v="00:15:52"/>
    <s v="00:00:08"/>
    <n v="97.61904761904762"/>
    <n v="42"/>
    <m/>
    <n v="39983.999999999993"/>
    <n v="951.99999999999989"/>
    <n v="8"/>
    <n v="0.97619047619047616"/>
  </r>
  <r>
    <x v="3"/>
    <d v="2022-12-13T00:00:00"/>
    <x v="5"/>
    <s v="PM"/>
    <s v="00:17:00"/>
    <s v="00:00:13"/>
    <n v="91.304347826086953"/>
    <n v="23"/>
    <m/>
    <n v="23460"/>
    <n v="1020"/>
    <n v="13.000000000000002"/>
    <n v="0.91304347826086951"/>
  </r>
  <r>
    <x v="3"/>
    <d v="2022-12-13T00:00:00"/>
    <x v="6"/>
    <s v="PM"/>
    <s v="00:13:43"/>
    <s v="00:00:14"/>
    <n v="88.888888888888886"/>
    <n v="18"/>
    <m/>
    <n v="14814"/>
    <n v="823"/>
    <n v="14"/>
    <n v="0.88888888888888884"/>
  </r>
  <r>
    <x v="3"/>
    <d v="2022-12-13T00:00:00"/>
    <x v="7"/>
    <s v="PM"/>
    <s v="00:20:47"/>
    <s v="00:00:06"/>
    <n v="100"/>
    <n v="19"/>
    <m/>
    <n v="23693.000000000004"/>
    <n v="1247.0000000000002"/>
    <n v="6"/>
    <n v="1"/>
  </r>
  <r>
    <x v="3"/>
    <d v="2022-12-13T00:00:00"/>
    <x v="8"/>
    <s v="PM"/>
    <s v="00:16:39"/>
    <s v="00:02:53"/>
    <n v="75"/>
    <n v="20"/>
    <m/>
    <n v="19979.999999999996"/>
    <n v="998.99999999999989"/>
    <n v="173"/>
    <n v="0.75"/>
  </r>
  <r>
    <x v="4"/>
    <d v="2022-12-14T00:00:00"/>
    <x v="0"/>
    <s v="AM"/>
    <s v="00:15:06"/>
    <s v="00:00:53"/>
    <n v="70"/>
    <n v="20"/>
    <m/>
    <n v="18120"/>
    <n v="906"/>
    <n v="53"/>
    <n v="0.7"/>
  </r>
  <r>
    <x v="4"/>
    <d v="2022-12-14T00:00:00"/>
    <x v="1"/>
    <s v="AM"/>
    <s v="00:16:34"/>
    <s v="00:00:09"/>
    <n v="94.73684210526315"/>
    <n v="19"/>
    <m/>
    <n v="18885.999999999996"/>
    <n v="993.99999999999989"/>
    <n v="9"/>
    <n v="0.94736842105263153"/>
  </r>
  <r>
    <x v="4"/>
    <d v="2022-12-14T00:00:00"/>
    <x v="2"/>
    <s v="AM"/>
    <s v="00:15:30"/>
    <s v="00:00:10"/>
    <n v="94.444444444444443"/>
    <n v="36"/>
    <m/>
    <n v="33480.000000000007"/>
    <n v="930.00000000000011"/>
    <n v="10"/>
    <n v="0.94444444444444442"/>
  </r>
  <r>
    <x v="4"/>
    <d v="2022-12-14T00:00:00"/>
    <x v="3"/>
    <s v="AM"/>
    <s v="00:14:34"/>
    <s v="00:00:11"/>
    <n v="93.548387096774192"/>
    <n v="31"/>
    <m/>
    <n v="27094"/>
    <n v="874"/>
    <n v="10.999999999999998"/>
    <n v="0.93548387096774188"/>
  </r>
  <r>
    <x v="4"/>
    <d v="2022-12-14T00:00:00"/>
    <x v="4"/>
    <s v="PM"/>
    <s v="00:16:16"/>
    <s v="00:00:10"/>
    <n v="92.682926829268297"/>
    <n v="41"/>
    <m/>
    <n v="40015.999999999993"/>
    <n v="975.99999999999989"/>
    <n v="10"/>
    <n v="0.92682926829268297"/>
  </r>
  <r>
    <x v="4"/>
    <d v="2022-12-14T00:00:00"/>
    <x v="5"/>
    <s v="PM"/>
    <s v="00:13:24"/>
    <s v="00:00:15"/>
    <n v="87.179487179487182"/>
    <n v="39"/>
    <m/>
    <n v="31355.999999999996"/>
    <n v="803.99999999999989"/>
    <n v="15"/>
    <n v="0.87179487179487181"/>
  </r>
  <r>
    <x v="4"/>
    <d v="2022-12-14T00:00:00"/>
    <x v="6"/>
    <s v="PM"/>
    <s v="00:14:15"/>
    <s v="00:00:11"/>
    <n v="93.548387096774192"/>
    <n v="31"/>
    <m/>
    <n v="26505"/>
    <n v="855"/>
    <n v="10.999999999999998"/>
    <n v="0.93548387096774188"/>
  </r>
  <r>
    <x v="4"/>
    <d v="2022-12-14T00:00:00"/>
    <x v="7"/>
    <s v="PM"/>
    <s v="00:13:03"/>
    <s v="00:00:08"/>
    <n v="96.774193548387103"/>
    <n v="31"/>
    <m/>
    <n v="24273"/>
    <n v="783"/>
    <n v="8"/>
    <n v="0.967741935483871"/>
  </r>
  <r>
    <x v="4"/>
    <d v="2022-12-14T00:00:00"/>
    <x v="8"/>
    <s v="PM"/>
    <s v="00:16:46"/>
    <s v="00:00:09"/>
    <n v="94.444444444444443"/>
    <n v="18"/>
    <m/>
    <n v="18108"/>
    <n v="1006"/>
    <n v="9"/>
    <n v="0.94444444444444442"/>
  </r>
  <r>
    <x v="4"/>
    <d v="2022-12-14T00:00:00"/>
    <x v="9"/>
    <s v="PM"/>
    <s v="00:09:00"/>
    <s v="00:00:05"/>
    <n v="100"/>
    <n v="1"/>
    <m/>
    <n v="540"/>
    <n v="540"/>
    <n v="5"/>
    <n v="1"/>
  </r>
  <r>
    <x v="0"/>
    <d v="2022-12-15T00:00:00"/>
    <x v="0"/>
    <s v="AM"/>
    <s v="00:09:45"/>
    <s v="00:00:33"/>
    <n v="76.470588235294116"/>
    <n v="17"/>
    <m/>
    <n v="11115"/>
    <n v="585"/>
    <n v="33"/>
    <n v="0.76470588235294112"/>
  </r>
  <r>
    <x v="0"/>
    <d v="2022-12-15T00:00:00"/>
    <x v="1"/>
    <s v="AM"/>
    <s v="00:11:13"/>
    <s v="00:01:26"/>
    <n v="74.074074074074076"/>
    <n v="27"/>
    <m/>
    <n v="18171"/>
    <n v="673"/>
    <n v="86"/>
    <n v="0.74074074074074081"/>
  </r>
  <r>
    <x v="0"/>
    <d v="2022-12-15T00:00:00"/>
    <x v="2"/>
    <s v="AM"/>
    <s v="00:16:42"/>
    <s v="00:01:57"/>
    <n v="56.666666666666664"/>
    <n v="30"/>
    <m/>
    <n v="30060"/>
    <n v="1002"/>
    <n v="117"/>
    <n v="0.56666666666666665"/>
  </r>
  <r>
    <x v="0"/>
    <d v="2022-12-15T00:00:00"/>
    <x v="3"/>
    <s v="AM"/>
    <s v="00:16:48"/>
    <s v="00:00:20"/>
    <n v="83.333333333333343"/>
    <n v="30"/>
    <m/>
    <n v="30240"/>
    <n v="1008"/>
    <n v="20"/>
    <n v="0.83333333333333348"/>
  </r>
  <r>
    <x v="0"/>
    <d v="2022-12-15T00:00:00"/>
    <x v="4"/>
    <s v="PM"/>
    <s v="00:12:01"/>
    <s v="00:00:11"/>
    <n v="92.307692307692307"/>
    <n v="52"/>
    <m/>
    <n v="37492.000000000007"/>
    <n v="721.00000000000011"/>
    <n v="10.999999999999998"/>
    <n v="0.92307692307692302"/>
  </r>
  <r>
    <x v="0"/>
    <d v="2022-12-15T00:00:00"/>
    <x v="5"/>
    <s v="PM"/>
    <s v="00:46:03"/>
    <s v="00:00:13"/>
    <n v="94.73684210526315"/>
    <n v="38"/>
    <m/>
    <n v="104993.99999999999"/>
    <n v="2762.9999999999995"/>
    <n v="13.000000000000002"/>
    <n v="0.94736842105263153"/>
  </r>
  <r>
    <x v="0"/>
    <d v="2022-12-15T00:00:00"/>
    <x v="6"/>
    <s v="PM"/>
    <s v="00:15:53"/>
    <s v="00:02:41"/>
    <n v="65.714285714285708"/>
    <n v="35"/>
    <m/>
    <n v="33354.999999999993"/>
    <n v="952.99999999999989"/>
    <n v="161.00000000000003"/>
    <n v="0.65714285714285703"/>
  </r>
  <r>
    <x v="0"/>
    <d v="2022-12-15T00:00:00"/>
    <x v="7"/>
    <s v="PM"/>
    <s v="00:10:46"/>
    <s v="00:10:42"/>
    <n v="22.222222222222221"/>
    <n v="18"/>
    <m/>
    <n v="16796.000000000004"/>
    <n v="646.00000000000011"/>
    <n v="641.99999999999989"/>
    <n v="0.22222222222222221"/>
  </r>
  <r>
    <x v="0"/>
    <d v="2022-12-15T00:00:00"/>
    <x v="8"/>
    <s v="PM"/>
    <s v="00:21:18"/>
    <s v="00:13:44"/>
    <n v="23.076923076923077"/>
    <n v="13"/>
    <m/>
    <n v="34506.000000000007"/>
    <n v="1278.0000000000002"/>
    <n v="824"/>
    <n v="0.23076923076923075"/>
  </r>
  <r>
    <x v="1"/>
    <d v="2022-12-16T00:00:00"/>
    <x v="0"/>
    <s v="AM"/>
    <s v="00:14:12"/>
    <s v="00:00:11"/>
    <n v="92.857142857142861"/>
    <n v="14"/>
    <m/>
    <n v="11927.999999999998"/>
    <n v="851.99999999999989"/>
    <n v="10.999999999999998"/>
    <n v="0.9285714285714286"/>
  </r>
  <r>
    <x v="1"/>
    <d v="2022-12-16T00:00:00"/>
    <x v="1"/>
    <s v="AM"/>
    <s v="00:16:30"/>
    <s v="00:00:09"/>
    <n v="100"/>
    <n v="20"/>
    <m/>
    <n v="19800.000000000004"/>
    <n v="990.00000000000011"/>
    <n v="9"/>
    <n v="1"/>
  </r>
  <r>
    <x v="1"/>
    <d v="2022-12-16T00:00:00"/>
    <x v="2"/>
    <s v="AM"/>
    <s v="00:15:09"/>
    <s v="00:02:28"/>
    <n v="48.484848484848484"/>
    <n v="33"/>
    <m/>
    <n v="31815"/>
    <n v="909"/>
    <n v="148"/>
    <n v="0.48484848484848486"/>
  </r>
  <r>
    <x v="1"/>
    <d v="2022-12-16T00:00:00"/>
    <x v="3"/>
    <s v="AM"/>
    <s v="00:15:12"/>
    <s v="00:00:21"/>
    <n v="89.65517241379311"/>
    <n v="29"/>
    <m/>
    <n v="26447.999999999996"/>
    <n v="911.99999999999989"/>
    <n v="20.999999999999996"/>
    <n v="0.89655172413793105"/>
  </r>
  <r>
    <x v="1"/>
    <d v="2022-12-16T00:00:00"/>
    <x v="4"/>
    <s v="PM"/>
    <s v="00:13:42"/>
    <s v="00:00:10"/>
    <n v="95.238095238095227"/>
    <n v="42"/>
    <m/>
    <n v="34524"/>
    <n v="822"/>
    <n v="10"/>
    <n v="0.95238095238095222"/>
  </r>
  <r>
    <x v="1"/>
    <d v="2022-12-16T00:00:00"/>
    <x v="5"/>
    <s v="PM"/>
    <s v="00:12:32"/>
    <s v="00:00:11"/>
    <n v="93.023255813953483"/>
    <n v="43"/>
    <m/>
    <n v="32336"/>
    <n v="752"/>
    <n v="10.999999999999998"/>
    <n v="0.93023255813953487"/>
  </r>
  <r>
    <x v="1"/>
    <d v="2022-12-16T00:00:00"/>
    <x v="6"/>
    <s v="PM"/>
    <s v="00:12:47"/>
    <s v="00:00:16"/>
    <n v="85.714285714285708"/>
    <n v="28"/>
    <m/>
    <n v="21476"/>
    <n v="767"/>
    <n v="16"/>
    <n v="0.8571428571428571"/>
  </r>
  <r>
    <x v="1"/>
    <d v="2022-12-16T00:00:00"/>
    <x v="7"/>
    <s v="PM"/>
    <s v="00:18:27"/>
    <s v="00:00:12"/>
    <n v="92.857142857142861"/>
    <n v="28"/>
    <m/>
    <n v="30996"/>
    <n v="1107"/>
    <n v="12"/>
    <n v="0.9285714285714286"/>
  </r>
  <r>
    <x v="1"/>
    <d v="2022-12-16T00:00:00"/>
    <x v="8"/>
    <s v="PM"/>
    <s v="00:10:57"/>
    <s v="00:00:06"/>
    <n v="100"/>
    <n v="23"/>
    <m/>
    <n v="15111"/>
    <n v="657"/>
    <n v="6"/>
    <n v="1"/>
  </r>
  <r>
    <x v="2"/>
    <d v="2022-12-19T00:00:00"/>
    <x v="0"/>
    <s v="AM"/>
    <s v="00:20:36"/>
    <s v="00:00:06"/>
    <n v="100"/>
    <n v="10"/>
    <m/>
    <n v="12360.000000000002"/>
    <n v="1236.0000000000002"/>
    <n v="6"/>
    <n v="1"/>
  </r>
  <r>
    <x v="2"/>
    <d v="2022-12-19T00:00:00"/>
    <x v="1"/>
    <s v="AM"/>
    <s v="00:19:48"/>
    <s v="00:00:42"/>
    <n v="80.952380952380949"/>
    <n v="21"/>
    <m/>
    <n v="24948"/>
    <n v="1188"/>
    <n v="41.999999999999993"/>
    <n v="0.80952380952380953"/>
  </r>
  <r>
    <x v="2"/>
    <d v="2022-12-19T00:00:00"/>
    <x v="2"/>
    <s v="AM"/>
    <s v="00:14:11"/>
    <s v="00:00:07"/>
    <n v="97.222222222222214"/>
    <n v="36"/>
    <m/>
    <n v="30636"/>
    <n v="851"/>
    <n v="7"/>
    <n v="0.9722222222222221"/>
  </r>
  <r>
    <x v="2"/>
    <d v="2022-12-19T00:00:00"/>
    <x v="3"/>
    <s v="AM"/>
    <s v="00:16:05"/>
    <s v="00:00:11"/>
    <n v="93.75"/>
    <n v="32"/>
    <m/>
    <n v="30880"/>
    <n v="965"/>
    <n v="10.999999999999998"/>
    <n v="0.9375"/>
  </r>
  <r>
    <x v="2"/>
    <d v="2022-12-19T00:00:00"/>
    <x v="4"/>
    <s v="PM"/>
    <s v="00:17:39"/>
    <s v="00:00:29"/>
    <n v="86.79245283018868"/>
    <n v="53"/>
    <m/>
    <n v="57186"/>
    <n v="1059"/>
    <n v="28.999999999999996"/>
    <n v="0.86792452830188682"/>
  </r>
  <r>
    <x v="2"/>
    <d v="2022-12-19T00:00:00"/>
    <x v="5"/>
    <s v="PM"/>
    <s v="00:17:38"/>
    <s v="00:00:05"/>
    <n v="100"/>
    <n v="31"/>
    <m/>
    <n v="32798"/>
    <n v="1058"/>
    <n v="5"/>
    <n v="1"/>
  </r>
  <r>
    <x v="2"/>
    <d v="2022-12-19T00:00:00"/>
    <x v="6"/>
    <s v="PM"/>
    <s v="00:16:06"/>
    <s v="00:00:14"/>
    <n v="88.888888888888886"/>
    <n v="27"/>
    <m/>
    <n v="26082.000000000004"/>
    <n v="966.00000000000011"/>
    <n v="14"/>
    <n v="0.88888888888888884"/>
  </r>
  <r>
    <x v="2"/>
    <d v="2022-12-19T00:00:00"/>
    <x v="7"/>
    <s v="PM"/>
    <s v="00:16:28"/>
    <s v="00:00:07"/>
    <n v="100"/>
    <n v="27"/>
    <m/>
    <n v="26676"/>
    <n v="988"/>
    <n v="7"/>
    <n v="1"/>
  </r>
  <r>
    <x v="2"/>
    <d v="2022-12-19T00:00:00"/>
    <x v="8"/>
    <s v="PM"/>
    <s v="00:17:03"/>
    <s v="00:00:16"/>
    <n v="94.444444444444443"/>
    <n v="18"/>
    <m/>
    <n v="18414"/>
    <n v="1023"/>
    <n v="16"/>
    <n v="0.94444444444444442"/>
  </r>
  <r>
    <x v="3"/>
    <d v="2022-12-20T00:00:00"/>
    <x v="0"/>
    <s v="AM"/>
    <s v="00:12:49"/>
    <s v="00:00:15"/>
    <n v="81.818181818181827"/>
    <n v="11"/>
    <m/>
    <n v="8459"/>
    <n v="769"/>
    <n v="15"/>
    <n v="0.81818181818181823"/>
  </r>
  <r>
    <x v="3"/>
    <d v="2022-12-20T00:00:00"/>
    <x v="1"/>
    <s v="AM"/>
    <s v="00:18:10"/>
    <s v="00:01:02"/>
    <n v="68.181818181818173"/>
    <n v="22"/>
    <m/>
    <n v="23980"/>
    <n v="1090"/>
    <n v="62.000000000000007"/>
    <n v="0.68181818181818177"/>
  </r>
  <r>
    <x v="3"/>
    <d v="2022-12-20T00:00:00"/>
    <x v="2"/>
    <s v="AM"/>
    <s v="00:15:31"/>
    <s v="00:00:09"/>
    <n v="93.61702127659575"/>
    <n v="47"/>
    <m/>
    <n v="43757.000000000007"/>
    <n v="931.00000000000011"/>
    <n v="9"/>
    <n v="0.93617021276595747"/>
  </r>
  <r>
    <x v="3"/>
    <d v="2022-12-20T00:00:00"/>
    <x v="3"/>
    <s v="AM"/>
    <s v="00:14:54"/>
    <s v="00:00:08"/>
    <n v="94.117647058823522"/>
    <n v="34"/>
    <m/>
    <n v="30396.000000000004"/>
    <n v="894.00000000000011"/>
    <n v="8"/>
    <n v="0.94117647058823517"/>
  </r>
  <r>
    <x v="3"/>
    <d v="2022-12-20T00:00:00"/>
    <x v="4"/>
    <s v="PM"/>
    <s v="00:15:25"/>
    <s v="00:00:08"/>
    <n v="96.969696969696969"/>
    <n v="33"/>
    <m/>
    <n v="30524.999999999996"/>
    <n v="924.99999999999989"/>
    <n v="8"/>
    <n v="0.96969696969696972"/>
  </r>
  <r>
    <x v="3"/>
    <d v="2022-12-20T00:00:00"/>
    <x v="5"/>
    <s v="PM"/>
    <s v="00:11:48"/>
    <s v="00:00:05"/>
    <n v="100"/>
    <n v="30"/>
    <m/>
    <n v="21240.000000000004"/>
    <n v="708.00000000000011"/>
    <n v="5"/>
    <n v="1"/>
  </r>
  <r>
    <x v="3"/>
    <d v="2022-12-20T00:00:00"/>
    <x v="6"/>
    <s v="PM"/>
    <s v="00:15:47"/>
    <s v="00:05:04"/>
    <n v="57.446808510638306"/>
    <n v="47"/>
    <m/>
    <n v="47350"/>
    <n v="947"/>
    <n v="304"/>
    <n v="0.57446808510638303"/>
  </r>
  <r>
    <x v="3"/>
    <d v="2022-12-20T00:00:00"/>
    <x v="7"/>
    <s v="PM"/>
    <s v="00:12:14"/>
    <s v="00:04:13"/>
    <n v="36.363636363636367"/>
    <n v="33"/>
    <m/>
    <n v="24222"/>
    <n v="734"/>
    <n v="253.00000000000006"/>
    <n v="0.36363636363636365"/>
  </r>
  <r>
    <x v="3"/>
    <d v="2022-12-20T00:00:00"/>
    <x v="8"/>
    <s v="PM"/>
    <s v="00:14:08"/>
    <s v="00:00:07"/>
    <n v="96.296296296296291"/>
    <n v="27"/>
    <m/>
    <n v="23744"/>
    <n v="848"/>
    <n v="7"/>
    <n v="0.96296296296296291"/>
  </r>
  <r>
    <x v="4"/>
    <d v="2022-12-21T00:00:00"/>
    <x v="0"/>
    <s v="AM"/>
    <s v="00:11:10"/>
    <s v="00:03:49"/>
    <n v="54.54545454545454"/>
    <n v="11"/>
    <m/>
    <n v="8039.9999999999982"/>
    <n v="669.99999999999989"/>
    <n v="228.99999999999997"/>
    <n v="0.54545454545454541"/>
  </r>
  <r>
    <x v="4"/>
    <d v="2022-12-21T00:00:00"/>
    <x v="1"/>
    <s v="AM"/>
    <s v="00:17:32"/>
    <s v="00:00:07"/>
    <n v="96.774193548387103"/>
    <n v="31"/>
    <m/>
    <n v="32612.000000000007"/>
    <n v="1052.0000000000002"/>
    <n v="7"/>
    <n v="0.967741935483871"/>
  </r>
  <r>
    <x v="4"/>
    <d v="2022-12-21T00:00:00"/>
    <x v="2"/>
    <s v="AM"/>
    <s v="00:16:00"/>
    <s v="00:00:10"/>
    <n v="95.833333333333343"/>
    <n v="24"/>
    <m/>
    <n v="23040"/>
    <n v="960"/>
    <n v="10"/>
    <n v="0.95833333333333348"/>
  </r>
  <r>
    <x v="4"/>
    <d v="2022-12-21T00:00:00"/>
    <x v="3"/>
    <s v="AM"/>
    <s v="00:16:31"/>
    <s v="00:00:13"/>
    <n v="87.5"/>
    <n v="32"/>
    <m/>
    <n v="31712"/>
    <n v="991"/>
    <n v="13.000000000000002"/>
    <n v="0.875"/>
  </r>
  <r>
    <x v="4"/>
    <d v="2022-12-21T00:00:00"/>
    <x v="4"/>
    <s v="PM"/>
    <s v="00:14:43"/>
    <s v="00:00:11"/>
    <n v="92.307692307692307"/>
    <n v="26"/>
    <m/>
    <n v="22958.000000000004"/>
    <n v="883.00000000000011"/>
    <n v="10.999999999999998"/>
    <n v="0.92307692307692302"/>
  </r>
  <r>
    <x v="4"/>
    <d v="2022-12-21T00:00:00"/>
    <x v="5"/>
    <s v="PM"/>
    <s v="00:14:10"/>
    <s v="00:00:10"/>
    <n v="92.857142857142861"/>
    <n v="28"/>
    <m/>
    <n v="24650"/>
    <n v="850"/>
    <n v="10"/>
    <n v="0.9285714285714286"/>
  </r>
  <r>
    <x v="4"/>
    <d v="2022-12-21T00:00:00"/>
    <x v="6"/>
    <s v="PM"/>
    <s v="00:15:52"/>
    <s v="00:00:08"/>
    <n v="96.774193548387103"/>
    <n v="31"/>
    <m/>
    <n v="29511.999999999996"/>
    <n v="951.99999999999989"/>
    <n v="8"/>
    <n v="0.967741935483871"/>
  </r>
  <r>
    <x v="4"/>
    <d v="2022-12-21T00:00:00"/>
    <x v="7"/>
    <s v="PM"/>
    <s v="00:13:48"/>
    <s v="00:00:08"/>
    <n v="96.774193548387103"/>
    <n v="31"/>
    <m/>
    <n v="25668.000000000004"/>
    <n v="828.00000000000011"/>
    <n v="8"/>
    <n v="0.967741935483871"/>
  </r>
  <r>
    <x v="4"/>
    <d v="2022-12-21T00:00:00"/>
    <x v="8"/>
    <s v="PM"/>
    <s v="00:17:33"/>
    <s v="00:00:09"/>
    <n v="94.444444444444443"/>
    <n v="18"/>
    <m/>
    <n v="18954.000000000004"/>
    <n v="1053.0000000000002"/>
    <n v="9"/>
    <n v="0.94444444444444442"/>
  </r>
  <r>
    <x v="0"/>
    <d v="2022-12-22T00:00:00"/>
    <x v="0"/>
    <s v="AM"/>
    <s v="00:16:35"/>
    <s v="00:00:12"/>
    <n v="88.235294117647058"/>
    <n v="17"/>
    <m/>
    <n v="16914.999999999996"/>
    <n v="994.99999999999989"/>
    <n v="12"/>
    <n v="0.88235294117647056"/>
  </r>
  <r>
    <x v="0"/>
    <d v="2022-12-22T00:00:00"/>
    <x v="1"/>
    <s v="AM"/>
    <s v="00:11:45"/>
    <s v="00:00:55"/>
    <n v="95.238095238095227"/>
    <n v="21"/>
    <m/>
    <n v="14805"/>
    <n v="705"/>
    <n v="54.999999999999993"/>
    <n v="0.95238095238095222"/>
  </r>
  <r>
    <x v="0"/>
    <d v="2022-12-22T00:00:00"/>
    <x v="2"/>
    <s v="AM"/>
    <s v="00:21:30"/>
    <s v="00:00:06"/>
    <n v="100"/>
    <n v="28"/>
    <m/>
    <n v="36120"/>
    <n v="1290"/>
    <n v="6"/>
    <n v="1"/>
  </r>
  <r>
    <x v="0"/>
    <d v="2022-12-22T00:00:00"/>
    <x v="3"/>
    <s v="AM"/>
    <s v="00:15:47"/>
    <s v="00:00:05"/>
    <n v="100"/>
    <n v="33"/>
    <m/>
    <n v="31251"/>
    <n v="947"/>
    <n v="5"/>
    <n v="1"/>
  </r>
  <r>
    <x v="0"/>
    <d v="2022-12-22T00:00:00"/>
    <x v="4"/>
    <s v="PM"/>
    <s v="00:15:52"/>
    <s v="00:00:05"/>
    <n v="100"/>
    <n v="24"/>
    <m/>
    <n v="22847.999999999996"/>
    <n v="951.99999999999989"/>
    <n v="5"/>
    <n v="1"/>
  </r>
  <r>
    <x v="0"/>
    <d v="2022-12-22T00:00:00"/>
    <x v="5"/>
    <s v="PM"/>
    <s v="00:12:34"/>
    <s v="00:00:08"/>
    <n v="96.666666666666671"/>
    <n v="30"/>
    <m/>
    <n v="22620"/>
    <n v="754"/>
    <n v="8"/>
    <n v="0.96666666666666667"/>
  </r>
  <r>
    <x v="0"/>
    <d v="2022-12-22T00:00:00"/>
    <x v="6"/>
    <s v="PM"/>
    <s v="00:16:28"/>
    <s v="00:00:07"/>
    <n v="96"/>
    <n v="25"/>
    <m/>
    <n v="24700"/>
    <n v="988"/>
    <n v="7"/>
    <n v="0.96"/>
  </r>
  <r>
    <x v="0"/>
    <d v="2022-12-22T00:00:00"/>
    <x v="7"/>
    <s v="PM"/>
    <s v="00:13:37"/>
    <s v="00:00:05"/>
    <n v="100"/>
    <n v="29"/>
    <m/>
    <n v="23693"/>
    <n v="817"/>
    <n v="5"/>
    <n v="1"/>
  </r>
  <r>
    <x v="0"/>
    <d v="2022-12-22T00:00:00"/>
    <x v="8"/>
    <s v="PM"/>
    <s v="00:14:15"/>
    <s v="00:00:08"/>
    <n v="96.428571428571431"/>
    <n v="28"/>
    <m/>
    <n v="23940"/>
    <n v="855"/>
    <n v="8"/>
    <n v="0.9642857142857143"/>
  </r>
  <r>
    <x v="1"/>
    <d v="2022-12-23T00:00:00"/>
    <x v="0"/>
    <s v="AM"/>
    <s v="00:20:55"/>
    <s v="00:00:22"/>
    <n v="75"/>
    <n v="12"/>
    <m/>
    <n v="15060"/>
    <n v="1255"/>
    <n v="21.999999999999996"/>
    <n v="0.75"/>
  </r>
  <r>
    <x v="1"/>
    <d v="2022-12-23T00:00:00"/>
    <x v="1"/>
    <s v="AM"/>
    <s v="00:16:48"/>
    <s v="00:00:08"/>
    <n v="100"/>
    <n v="20"/>
    <m/>
    <n v="20160"/>
    <n v="1008"/>
    <n v="8"/>
    <n v="1"/>
  </r>
  <r>
    <x v="1"/>
    <d v="2022-12-23T00:00:00"/>
    <x v="2"/>
    <s v="AM"/>
    <s v="00:13:48"/>
    <s v="00:00:10"/>
    <n v="92"/>
    <n v="25"/>
    <m/>
    <n v="20700.000000000004"/>
    <n v="828.00000000000011"/>
    <n v="10"/>
    <n v="0.92"/>
  </r>
  <r>
    <x v="1"/>
    <d v="2022-12-23T00:00:00"/>
    <x v="3"/>
    <s v="AM"/>
    <s v="00:14:12"/>
    <s v="00:00:09"/>
    <n v="94.117647058823522"/>
    <n v="34"/>
    <m/>
    <n v="28967.999999999996"/>
    <n v="851.99999999999989"/>
    <n v="9"/>
    <n v="0.94117647058823517"/>
  </r>
  <r>
    <x v="1"/>
    <d v="2022-12-23T00:00:00"/>
    <x v="4"/>
    <s v="PM"/>
    <s v="00:15:18"/>
    <s v="00:00:07"/>
    <n v="97.368421052631575"/>
    <n v="38"/>
    <m/>
    <n v="34884.000000000007"/>
    <n v="918.00000000000011"/>
    <n v="7"/>
    <n v="0.97368421052631571"/>
  </r>
  <r>
    <x v="1"/>
    <d v="2022-12-23T00:00:00"/>
    <x v="5"/>
    <s v="PM"/>
    <s v="00:11:11"/>
    <s v="00:00:07"/>
    <n v="100"/>
    <n v="21"/>
    <m/>
    <n v="14091"/>
    <n v="671"/>
    <n v="7"/>
    <n v="1"/>
  </r>
  <r>
    <x v="1"/>
    <d v="2022-12-23T00:00:00"/>
    <x v="6"/>
    <s v="PM"/>
    <s v="00:15:36"/>
    <s v="00:00:09"/>
    <n v="94.444444444444443"/>
    <n v="18"/>
    <m/>
    <n v="16848"/>
    <n v="936"/>
    <n v="9"/>
    <n v="0.94444444444444442"/>
  </r>
  <r>
    <x v="1"/>
    <d v="2022-12-23T00:00:00"/>
    <x v="7"/>
    <s v="PM"/>
    <s v="00:13:45"/>
    <s v="00:01:49"/>
    <n v="67.857142857142861"/>
    <n v="28"/>
    <m/>
    <n v="23099.999999999996"/>
    <n v="824.99999999999989"/>
    <n v="109"/>
    <n v="0.6785714285714286"/>
  </r>
  <r>
    <x v="1"/>
    <d v="2022-12-23T00:00:00"/>
    <x v="8"/>
    <s v="PM"/>
    <s v="00:17:00"/>
    <s v="00:00:13"/>
    <n v="85.714285714285708"/>
    <n v="14"/>
    <m/>
    <n v="14280"/>
    <n v="1020"/>
    <n v="13.000000000000002"/>
    <n v="0.8571428571428571"/>
  </r>
  <r>
    <x v="3"/>
    <d v="2022-12-27T00:00:00"/>
    <x v="0"/>
    <s v="AM"/>
    <s v="00:11:25"/>
    <s v="00:00:09"/>
    <n v="100"/>
    <n v="14"/>
    <m/>
    <n v="10275"/>
    <n v="685"/>
    <n v="9"/>
    <n v="1"/>
  </r>
  <r>
    <x v="3"/>
    <d v="2022-12-27T00:00:00"/>
    <x v="1"/>
    <s v="AM"/>
    <s v="00:14:12"/>
    <s v="00:02:41"/>
    <n v="50"/>
    <n v="30"/>
    <m/>
    <n v="25559.999999999996"/>
    <n v="851.99999999999989"/>
    <n v="161.00000000000003"/>
    <n v="0.5"/>
  </r>
  <r>
    <x v="3"/>
    <d v="2022-12-27T00:00:00"/>
    <x v="2"/>
    <s v="AM"/>
    <s v="00:14:31"/>
    <s v="00:02:35"/>
    <n v="47.619047619047613"/>
    <n v="42"/>
    <m/>
    <n v="36582"/>
    <n v="871"/>
    <n v="155"/>
    <n v="0.47619047619047611"/>
  </r>
  <r>
    <x v="3"/>
    <d v="2022-12-27T00:00:00"/>
    <x v="3"/>
    <s v="AM"/>
    <s v="00:13:41"/>
    <s v="00:00:09"/>
    <n v="95.555555555555557"/>
    <n v="45"/>
    <m/>
    <n v="36945.000000000007"/>
    <n v="821.00000000000011"/>
    <n v="9"/>
    <n v="0.9555555555555556"/>
  </r>
  <r>
    <x v="3"/>
    <d v="2022-12-27T00:00:00"/>
    <x v="4"/>
    <s v="PM"/>
    <s v="00:15:00"/>
    <s v="00:00:16"/>
    <n v="86.111111111111114"/>
    <n v="36"/>
    <m/>
    <n v="32400"/>
    <n v="900"/>
    <n v="16"/>
    <n v="0.86111111111111116"/>
  </r>
  <r>
    <x v="3"/>
    <d v="2022-12-27T00:00:00"/>
    <x v="5"/>
    <s v="PM"/>
    <s v="00:18:36"/>
    <s v="00:00:57"/>
    <n v="67.5"/>
    <n v="40"/>
    <m/>
    <n v="44640"/>
    <n v="1116"/>
    <n v="56.999999999999993"/>
    <n v="0.67500000000000004"/>
  </r>
  <r>
    <x v="3"/>
    <d v="2022-12-27T00:00:00"/>
    <x v="6"/>
    <s v="PM"/>
    <s v="00:18:35"/>
    <s v="00:01:06"/>
    <n v="72.727272727272734"/>
    <n v="44"/>
    <m/>
    <n v="50174.999999999993"/>
    <n v="1114.9999999999998"/>
    <n v="66"/>
    <n v="0.72727272727272729"/>
  </r>
  <r>
    <x v="3"/>
    <d v="2022-12-27T00:00:00"/>
    <x v="7"/>
    <s v="PM"/>
    <s v="00:15:21"/>
    <s v="00:00:14"/>
    <n v="90.909090909090907"/>
    <n v="33"/>
    <m/>
    <n v="30392.999999999996"/>
    <n v="920.99999999999989"/>
    <n v="14"/>
    <n v="0.90909090909090906"/>
  </r>
  <r>
    <x v="3"/>
    <d v="2022-12-27T00:00:00"/>
    <x v="8"/>
    <s v="PM"/>
    <s v="00:18:45"/>
    <s v="00:02:57"/>
    <n v="55.000000000000007"/>
    <n v="20"/>
    <m/>
    <n v="27000"/>
    <n v="1125"/>
    <n v="177.00000000000003"/>
    <n v="0.55000000000000004"/>
  </r>
  <r>
    <x v="4"/>
    <d v="2022-12-28T00:00:00"/>
    <x v="0"/>
    <s v="AM"/>
    <s v="00:28:00"/>
    <s v="00:00:08"/>
    <n v="100"/>
    <n v="2"/>
    <m/>
    <n v="3360"/>
    <n v="1680"/>
    <n v="8"/>
    <n v="1"/>
  </r>
  <r>
    <x v="4"/>
    <d v="2022-12-28T00:00:00"/>
    <x v="1"/>
    <s v="AM"/>
    <s v="00:18:07"/>
    <s v="00:01:08"/>
    <n v="72"/>
    <n v="25"/>
    <m/>
    <n v="28262"/>
    <n v="1087"/>
    <n v="68"/>
    <n v="0.72"/>
  </r>
  <r>
    <x v="4"/>
    <d v="2022-12-28T00:00:00"/>
    <x v="2"/>
    <s v="AM"/>
    <s v="00:12:22"/>
    <s v="00:00:07"/>
    <n v="100"/>
    <n v="27"/>
    <m/>
    <n v="20033.999999999996"/>
    <n v="741.99999999999989"/>
    <n v="7"/>
    <n v="1"/>
  </r>
  <r>
    <x v="4"/>
    <d v="2022-12-28T00:00:00"/>
    <x v="3"/>
    <s v="AM"/>
    <s v="00:16:46"/>
    <s v="00:00:07"/>
    <n v="100"/>
    <n v="40"/>
    <m/>
    <n v="40240"/>
    <n v="1006"/>
    <n v="7"/>
    <n v="1"/>
  </r>
  <r>
    <x v="4"/>
    <d v="2022-12-28T00:00:00"/>
    <x v="4"/>
    <s v="PM"/>
    <s v="00:09:47"/>
    <s v="00:00:25"/>
    <n v="87.878787878787875"/>
    <n v="33"/>
    <m/>
    <n v="19371"/>
    <n v="587"/>
    <n v="25.000000000000004"/>
    <n v="0.87878787878787878"/>
  </r>
  <r>
    <x v="4"/>
    <d v="2022-12-28T00:00:00"/>
    <x v="5"/>
    <s v="PM"/>
    <s v="00:14:31"/>
    <s v="00:00:24"/>
    <n v="86.111111111111114"/>
    <n v="36"/>
    <m/>
    <n v="31356"/>
    <n v="871"/>
    <n v="24"/>
    <n v="0.86111111111111116"/>
  </r>
  <r>
    <x v="4"/>
    <d v="2022-12-28T00:00:00"/>
    <x v="6"/>
    <s v="PM"/>
    <s v="00:13:46"/>
    <s v="00:00:18"/>
    <n v="87.5"/>
    <n v="32"/>
    <m/>
    <n v="26432"/>
    <n v="826"/>
    <n v="18"/>
    <n v="0.875"/>
  </r>
  <r>
    <x v="4"/>
    <d v="2022-12-28T00:00:00"/>
    <x v="7"/>
    <s v="PM"/>
    <s v="00:15:20"/>
    <s v="00:03:19"/>
    <n v="58.620689655172406"/>
    <n v="29"/>
    <m/>
    <n v="33120.000000000007"/>
    <n v="920.00000000000011"/>
    <n v="199"/>
    <n v="0.58620689655172409"/>
  </r>
  <r>
    <x v="4"/>
    <d v="2022-12-28T00:00:00"/>
    <x v="8"/>
    <s v="PM"/>
    <s v="00:13:29"/>
    <s v="00:01:48"/>
    <n v="36.363636363636367"/>
    <n v="33"/>
    <m/>
    <n v="30742"/>
    <n v="809"/>
    <n v="108"/>
    <n v="0.36363636363636365"/>
  </r>
  <r>
    <x v="0"/>
    <d v="2022-12-29T00:00:00"/>
    <x v="0"/>
    <s v="AM"/>
    <s v="00:14:25"/>
    <s v="00:00:27"/>
    <n v="91.666666666666657"/>
    <n v="12"/>
    <m/>
    <n v="10380"/>
    <n v="865"/>
    <n v="27"/>
    <n v="0.91666666666666652"/>
  </r>
  <r>
    <x v="0"/>
    <d v="2022-12-29T00:00:00"/>
    <x v="1"/>
    <s v="AM"/>
    <s v="00:16:29"/>
    <s v="00:00:14"/>
    <n v="90.909090909090907"/>
    <n v="33"/>
    <m/>
    <n v="32637.000000000004"/>
    <n v="989.00000000000011"/>
    <n v="14"/>
    <n v="0.90909090909090906"/>
  </r>
  <r>
    <x v="0"/>
    <d v="2022-12-29T00:00:00"/>
    <x v="2"/>
    <s v="AM"/>
    <s v="00:15:51"/>
    <s v="00:00:22"/>
    <n v="86.04651162790698"/>
    <n v="43"/>
    <m/>
    <n v="40893"/>
    <n v="951"/>
    <n v="21.999999999999996"/>
    <n v="0.86046511627906985"/>
  </r>
  <r>
    <x v="0"/>
    <d v="2022-12-29T00:00:00"/>
    <x v="3"/>
    <s v="AM"/>
    <s v="00:13:10"/>
    <s v="00:00:06"/>
    <n v="100"/>
    <n v="40"/>
    <m/>
    <n v="31599.999999999996"/>
    <n v="789.99999999999989"/>
    <n v="6"/>
    <n v="1"/>
  </r>
  <r>
    <x v="0"/>
    <d v="2022-12-29T00:00:00"/>
    <x v="4"/>
    <s v="PM"/>
    <s v="00:19:51"/>
    <s v="00:00:34"/>
    <n v="85.294117647058826"/>
    <n v="34"/>
    <m/>
    <n v="42876.000000000007"/>
    <n v="1191.0000000000002"/>
    <n v="34"/>
    <n v="0.85294117647058831"/>
  </r>
  <r>
    <x v="0"/>
    <d v="2022-12-29T00:00:00"/>
    <x v="5"/>
    <s v="PM"/>
    <s v="00:14:12"/>
    <s v="00:00:12"/>
    <n v="94.594594594594597"/>
    <n v="37"/>
    <m/>
    <n v="31523.999999999996"/>
    <n v="851.99999999999989"/>
    <n v="12"/>
    <n v="0.94594594594594594"/>
  </r>
  <r>
    <x v="0"/>
    <d v="2022-12-29T00:00:00"/>
    <x v="6"/>
    <s v="PM"/>
    <s v="00:12:58"/>
    <s v="00:00:16"/>
    <n v="92.5"/>
    <n v="40"/>
    <m/>
    <n v="32676"/>
    <n v="778"/>
    <n v="16"/>
    <n v="0.92500000000000004"/>
  </r>
  <r>
    <x v="0"/>
    <d v="2022-12-29T00:00:00"/>
    <x v="7"/>
    <s v="PM"/>
    <s v="00:12:44"/>
    <s v="00:01:59"/>
    <n v="55.882352941176471"/>
    <n v="34"/>
    <m/>
    <n v="27503.999999999996"/>
    <n v="763.99999999999989"/>
    <n v="118.99999999999999"/>
    <n v="0.55882352941176472"/>
  </r>
  <r>
    <x v="0"/>
    <d v="2022-12-29T00:00:00"/>
    <x v="8"/>
    <s v="PM"/>
    <s v="00:10:18"/>
    <s v="00:00:10"/>
    <n v="96.15384615384616"/>
    <n v="26"/>
    <m/>
    <n v="16068.000000000004"/>
    <n v="618.00000000000011"/>
    <n v="10"/>
    <n v="0.96153846153846156"/>
  </r>
  <r>
    <x v="1"/>
    <d v="2022-12-30T00:00:00"/>
    <x v="0"/>
    <s v="AM"/>
    <s v="00:14:50"/>
    <s v="00:00:15"/>
    <n v="83.333333333333343"/>
    <n v="6"/>
    <m/>
    <n v="8010.0000000000009"/>
    <n v="890.00000000000011"/>
    <n v="15"/>
    <n v="0.83333333333333348"/>
  </r>
  <r>
    <x v="1"/>
    <d v="2022-12-30T00:00:00"/>
    <x v="1"/>
    <s v="AM"/>
    <s v="00:23:46"/>
    <s v="00:00:23"/>
    <n v="86.36363636363636"/>
    <n v="22"/>
    <m/>
    <n v="31372"/>
    <n v="1426"/>
    <n v="23"/>
    <n v="0.86363636363636365"/>
  </r>
  <r>
    <x v="1"/>
    <d v="2022-12-30T00:00:00"/>
    <x v="2"/>
    <s v="AM"/>
    <s v="00:15:24"/>
    <s v="00:00:22"/>
    <n v="88.888888888888886"/>
    <n v="27"/>
    <m/>
    <n v="24948"/>
    <n v="924"/>
    <n v="21.999999999999996"/>
    <n v="0.88888888888888884"/>
  </r>
  <r>
    <x v="1"/>
    <d v="2022-12-30T00:00:00"/>
    <x v="3"/>
    <s v="AM"/>
    <s v="00:13:23"/>
    <s v="00:00:11"/>
    <n v="93.548387096774192"/>
    <n v="31"/>
    <m/>
    <n v="24893"/>
    <n v="803"/>
    <n v="10.999999999999998"/>
    <n v="0.93548387096774188"/>
  </r>
  <r>
    <x v="1"/>
    <d v="2022-12-30T00:00:00"/>
    <x v="4"/>
    <s v="PM"/>
    <s v="00:13:36"/>
    <s v="00:00:12"/>
    <n v="91.428571428571431"/>
    <n v="35"/>
    <m/>
    <n v="29376"/>
    <n v="816"/>
    <n v="12"/>
    <n v="0.91428571428571426"/>
  </r>
  <r>
    <x v="1"/>
    <d v="2022-12-30T00:00:00"/>
    <x v="5"/>
    <s v="PM"/>
    <s v="00:20:33"/>
    <s v="00:00:26"/>
    <n v="84"/>
    <n v="25"/>
    <m/>
    <n v="30825.000000000007"/>
    <n v="1233.0000000000002"/>
    <n v="26.000000000000004"/>
    <n v="0.84"/>
  </r>
  <r>
    <x v="1"/>
    <d v="2022-12-30T00:00:00"/>
    <x v="6"/>
    <s v="PM"/>
    <s v="00:14:57"/>
    <s v="00:00:07"/>
    <n v="100"/>
    <n v="22"/>
    <m/>
    <n v="19733.999999999996"/>
    <n v="896.99999999999989"/>
    <n v="7"/>
    <n v="1"/>
  </r>
  <r>
    <x v="1"/>
    <d v="2022-12-30T00:00:00"/>
    <x v="7"/>
    <s v="PM"/>
    <s v="00:16:05"/>
    <s v="00:00:07"/>
    <n v="100"/>
    <n v="23"/>
    <m/>
    <n v="22195"/>
    <n v="965"/>
    <n v="7"/>
    <n v="1"/>
  </r>
  <r>
    <x v="1"/>
    <d v="2022-12-30T00:00:00"/>
    <x v="8"/>
    <s v="PM"/>
    <s v="00:12:02"/>
    <s v="00:00:10"/>
    <n v="92.592592592592595"/>
    <n v="27"/>
    <m/>
    <n v="19493.999999999996"/>
    <n v="721.99999999999989"/>
    <n v="10"/>
    <n v="0.92592592592592593"/>
  </r>
  <r>
    <x v="5"/>
    <m/>
    <x v="10"/>
    <m/>
    <m/>
    <m/>
    <m/>
    <m/>
    <m/>
    <n v="0"/>
    <n v="0"/>
    <n v="0"/>
    <n v="0"/>
  </r>
  <r>
    <x v="5"/>
    <m/>
    <x v="10"/>
    <m/>
    <m/>
    <m/>
    <m/>
    <m/>
    <m/>
    <n v="0"/>
    <n v="0"/>
    <n v="0"/>
    <n v="0"/>
  </r>
  <r>
    <x v="5"/>
    <m/>
    <x v="10"/>
    <m/>
    <m/>
    <m/>
    <m/>
    <m/>
    <m/>
    <n v="0"/>
    <n v="0"/>
    <n v="0"/>
    <n v="0"/>
  </r>
  <r>
    <x v="5"/>
    <m/>
    <x v="10"/>
    <m/>
    <m/>
    <m/>
    <m/>
    <m/>
    <m/>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6">
  <r>
    <x v="0"/>
    <d v="2022-12-01T00:00:00"/>
    <d v="2022-12-01T00:00:00"/>
    <x v="0"/>
    <s v="AM"/>
    <s v="00:03:37"/>
    <n v="4"/>
    <n v="0"/>
    <n v="25"/>
    <n v="25"/>
  </r>
  <r>
    <x v="0"/>
    <d v="2022-12-01T00:00:00"/>
    <d v="2022-12-01T00:00:00"/>
    <x v="1"/>
    <s v="AM"/>
    <s v="00:04:31"/>
    <n v="2"/>
    <n v="1"/>
    <n v="33"/>
    <n v="34"/>
  </r>
  <r>
    <x v="0"/>
    <d v="2022-12-01T00:00:00"/>
    <d v="2022-12-01T00:00:00"/>
    <x v="2"/>
    <s v="AM"/>
    <s v="00:00:18"/>
    <n v="4"/>
    <n v="0"/>
    <n v="30"/>
    <n v="30"/>
  </r>
  <r>
    <x v="0"/>
    <d v="2022-12-01T00:00:00"/>
    <d v="2022-12-01T00:00:00"/>
    <x v="3"/>
    <s v="AM"/>
    <s v="00:00:12"/>
    <n v="2"/>
    <n v="0"/>
    <n v="28"/>
    <n v="28"/>
  </r>
  <r>
    <x v="0"/>
    <d v="2022-12-01T00:00:00"/>
    <d v="2022-12-01T00:00:00"/>
    <x v="4"/>
    <s v="PM"/>
    <s v="00:02:12"/>
    <n v="5"/>
    <n v="1"/>
    <n v="50"/>
    <n v="51"/>
  </r>
  <r>
    <x v="0"/>
    <d v="2022-12-01T00:00:00"/>
    <d v="2022-12-01T00:00:00"/>
    <x v="5"/>
    <s v="PM"/>
    <s v="00:00:25"/>
    <n v="3"/>
    <n v="0"/>
    <n v="36"/>
    <n v="36"/>
  </r>
  <r>
    <x v="0"/>
    <d v="2022-12-01T00:00:00"/>
    <d v="2022-12-01T00:00:00"/>
    <x v="6"/>
    <s v="PM"/>
    <s v="00:00:14"/>
    <n v="2"/>
    <n v="0"/>
    <n v="37"/>
    <n v="37"/>
  </r>
  <r>
    <x v="0"/>
    <d v="2022-12-01T00:00:00"/>
    <d v="2022-12-01T00:00:00"/>
    <x v="7"/>
    <s v="PM"/>
    <s v="00:00:23"/>
    <n v="4"/>
    <n v="0"/>
    <n v="28"/>
    <n v="28"/>
  </r>
  <r>
    <x v="0"/>
    <d v="2022-12-01T00:00:00"/>
    <d v="2022-12-01T00:00:00"/>
    <x v="8"/>
    <s v="PM"/>
    <s v="00:02:30"/>
    <n v="2"/>
    <n v="0"/>
    <n v="28"/>
    <n v="28"/>
  </r>
  <r>
    <x v="1"/>
    <d v="2022-12-02T00:00:00"/>
    <d v="2022-12-02T00:00:00"/>
    <x v="0"/>
    <s v="AM"/>
    <s v="00:00:12"/>
    <n v="1"/>
    <n v="0"/>
    <n v="24"/>
    <n v="24"/>
  </r>
  <r>
    <x v="1"/>
    <d v="2022-12-02T00:00:00"/>
    <d v="2022-12-02T00:00:00"/>
    <x v="1"/>
    <s v="AM"/>
    <s v="00:00:46"/>
    <n v="2"/>
    <n v="0"/>
    <n v="27"/>
    <n v="27"/>
  </r>
  <r>
    <x v="1"/>
    <d v="2022-12-02T00:00:00"/>
    <d v="2022-12-02T00:00:00"/>
    <x v="2"/>
    <s v="AM"/>
    <s v="00:01:04"/>
    <n v="2"/>
    <n v="0"/>
    <n v="45"/>
    <n v="45"/>
  </r>
  <r>
    <x v="1"/>
    <d v="2022-12-02T00:00:00"/>
    <d v="2022-12-02T00:00:00"/>
    <x v="3"/>
    <s v="AM"/>
    <s v="00:00:21"/>
    <n v="3"/>
    <n v="0"/>
    <n v="34"/>
    <n v="34"/>
  </r>
  <r>
    <x v="1"/>
    <d v="2022-12-02T00:00:00"/>
    <d v="2022-12-02T00:00:00"/>
    <x v="4"/>
    <s v="PM"/>
    <s v="00:08:23"/>
    <n v="2"/>
    <n v="1"/>
    <n v="30"/>
    <n v="31"/>
  </r>
  <r>
    <x v="1"/>
    <d v="2022-12-02T00:00:00"/>
    <d v="2022-12-02T00:00:00"/>
    <x v="5"/>
    <s v="PM"/>
    <s v="00:00:27"/>
    <n v="3"/>
    <n v="1"/>
    <n v="25"/>
    <n v="26"/>
  </r>
  <r>
    <x v="1"/>
    <d v="2022-12-02T00:00:00"/>
    <d v="2022-12-02T00:00:00"/>
    <x v="6"/>
    <s v="PM"/>
    <s v="00:00:17"/>
    <n v="3"/>
    <n v="0"/>
    <n v="33"/>
    <n v="33"/>
  </r>
  <r>
    <x v="1"/>
    <d v="2022-12-02T00:00:00"/>
    <d v="2022-12-02T00:00:00"/>
    <x v="7"/>
    <s v="PM"/>
    <s v="00:00:12"/>
    <n v="2"/>
    <n v="0"/>
    <n v="27"/>
    <n v="27"/>
  </r>
  <r>
    <x v="1"/>
    <d v="2022-12-02T00:00:00"/>
    <d v="2022-12-02T00:00:00"/>
    <x v="8"/>
    <s v="PM"/>
    <s v="00:01:42"/>
    <n v="2"/>
    <n v="3"/>
    <n v="19"/>
    <n v="22"/>
  </r>
  <r>
    <x v="2"/>
    <d v="2022-12-05T00:00:00"/>
    <d v="2022-12-05T00:00:00"/>
    <x v="0"/>
    <s v="AM"/>
    <s v="00:05:07"/>
    <n v="3"/>
    <n v="1"/>
    <n v="27"/>
    <n v="28"/>
  </r>
  <r>
    <x v="2"/>
    <d v="2022-12-05T00:00:00"/>
    <d v="2022-12-05T00:00:00"/>
    <x v="1"/>
    <s v="AM"/>
    <s v="00:06:49"/>
    <n v="3"/>
    <n v="2"/>
    <n v="34"/>
    <n v="36"/>
  </r>
  <r>
    <x v="2"/>
    <d v="2022-12-05T00:00:00"/>
    <d v="2022-12-05T00:00:00"/>
    <x v="2"/>
    <s v="AM"/>
    <s v="00:05:15"/>
    <n v="3"/>
    <n v="4"/>
    <n v="36"/>
    <n v="40"/>
  </r>
  <r>
    <x v="2"/>
    <d v="2022-12-05T00:00:00"/>
    <d v="2022-12-05T00:00:00"/>
    <x v="3"/>
    <s v="AM"/>
    <s v="00:01:16"/>
    <n v="3"/>
    <n v="1"/>
    <n v="59"/>
    <n v="60"/>
  </r>
  <r>
    <x v="2"/>
    <d v="2022-12-05T00:00:00"/>
    <d v="2022-12-05T00:00:00"/>
    <x v="4"/>
    <s v="PM"/>
    <s v="00:02:32"/>
    <n v="5"/>
    <n v="1"/>
    <n v="45"/>
    <n v="46"/>
  </r>
  <r>
    <x v="2"/>
    <d v="2022-12-05T00:00:00"/>
    <d v="2022-12-05T00:00:00"/>
    <x v="5"/>
    <s v="PM"/>
    <s v="00:07:12"/>
    <n v="3"/>
    <n v="7"/>
    <n v="44"/>
    <n v="51"/>
  </r>
  <r>
    <x v="2"/>
    <d v="2022-12-05T00:00:00"/>
    <d v="2022-12-05T00:00:00"/>
    <x v="6"/>
    <s v="PM"/>
    <s v="00:08:40"/>
    <n v="2"/>
    <n v="1"/>
    <n v="45"/>
    <n v="46"/>
  </r>
  <r>
    <x v="2"/>
    <d v="2022-12-05T00:00:00"/>
    <d v="2022-12-05T00:00:00"/>
    <x v="7"/>
    <s v="PM"/>
    <s v="00:00:38"/>
    <n v="2"/>
    <n v="0"/>
    <n v="33"/>
    <n v="33"/>
  </r>
  <r>
    <x v="2"/>
    <d v="2022-12-05T00:00:00"/>
    <d v="2022-12-05T00:00:00"/>
    <x v="8"/>
    <s v="PM"/>
    <s v="00:00:24"/>
    <n v="5"/>
    <n v="0"/>
    <n v="29"/>
    <n v="29"/>
  </r>
  <r>
    <x v="2"/>
    <d v="2022-12-05T00:00:00"/>
    <d v="2022-12-05T00:00:00"/>
    <x v="9"/>
    <s v="PM"/>
    <s v="00:00:05"/>
    <n v="0"/>
    <n v="0"/>
    <n v="1"/>
    <n v="1"/>
  </r>
  <r>
    <x v="3"/>
    <d v="2022-12-06T00:00:00"/>
    <d v="2022-12-06T00:00:00"/>
    <x v="0"/>
    <s v="AM"/>
    <s v="00:00:44"/>
    <n v="4"/>
    <n v="0"/>
    <n v="13"/>
    <n v="13"/>
  </r>
  <r>
    <x v="3"/>
    <d v="2022-12-06T00:00:00"/>
    <d v="2022-12-06T00:00:00"/>
    <x v="1"/>
    <s v="AM"/>
    <s v="00:03:03"/>
    <n v="2"/>
    <n v="0"/>
    <n v="29"/>
    <n v="29"/>
  </r>
  <r>
    <x v="3"/>
    <d v="2022-12-06T00:00:00"/>
    <d v="2022-12-06T00:00:00"/>
    <x v="2"/>
    <s v="AM"/>
    <s v="00:02:28"/>
    <n v="1"/>
    <n v="2"/>
    <n v="38"/>
    <n v="40"/>
  </r>
  <r>
    <x v="3"/>
    <d v="2022-12-06T00:00:00"/>
    <d v="2022-12-06T00:00:00"/>
    <x v="3"/>
    <s v="AM"/>
    <s v="00:00:24"/>
    <n v="4"/>
    <n v="0"/>
    <n v="37"/>
    <n v="37"/>
  </r>
  <r>
    <x v="3"/>
    <d v="2022-12-06T00:00:00"/>
    <d v="2022-12-06T00:00:00"/>
    <x v="4"/>
    <s v="PM"/>
    <s v="00:00:08"/>
    <n v="1"/>
    <n v="0"/>
    <n v="41"/>
    <n v="41"/>
  </r>
  <r>
    <x v="3"/>
    <d v="2022-12-06T00:00:00"/>
    <d v="2022-12-06T00:00:00"/>
    <x v="5"/>
    <s v="PM"/>
    <s v="00:00:12"/>
    <n v="0"/>
    <n v="0"/>
    <n v="29"/>
    <n v="29"/>
  </r>
  <r>
    <x v="3"/>
    <d v="2022-12-06T00:00:00"/>
    <d v="2022-12-06T00:00:00"/>
    <x v="6"/>
    <s v="PM"/>
    <s v="00:00:27"/>
    <n v="0"/>
    <n v="0"/>
    <n v="23"/>
    <n v="23"/>
  </r>
  <r>
    <x v="3"/>
    <d v="2022-12-06T00:00:00"/>
    <d v="2022-12-06T00:00:00"/>
    <x v="7"/>
    <s v="PM"/>
    <s v="00:02:49"/>
    <n v="7"/>
    <n v="0"/>
    <n v="39"/>
    <n v="39"/>
  </r>
  <r>
    <x v="3"/>
    <d v="2022-12-06T00:00:00"/>
    <d v="2022-12-06T00:00:00"/>
    <x v="8"/>
    <s v="PM"/>
    <s v="00:01:56"/>
    <n v="0"/>
    <n v="0"/>
    <n v="29"/>
    <n v="29"/>
  </r>
  <r>
    <x v="4"/>
    <d v="2022-12-07T00:00:00"/>
    <d v="2022-12-07T00:00:00"/>
    <x v="0"/>
    <s v="AM"/>
    <s v="00:03:24"/>
    <n v="0"/>
    <n v="1"/>
    <n v="14"/>
    <n v="15"/>
  </r>
  <r>
    <x v="4"/>
    <d v="2022-12-07T00:00:00"/>
    <d v="2022-12-07T00:00:00"/>
    <x v="1"/>
    <s v="AM"/>
    <s v="00:00:19"/>
    <n v="3"/>
    <n v="0"/>
    <n v="16"/>
    <n v="16"/>
  </r>
  <r>
    <x v="4"/>
    <d v="2022-12-07T00:00:00"/>
    <d v="2022-12-07T00:00:00"/>
    <x v="2"/>
    <s v="AM"/>
    <s v="00:01:30"/>
    <n v="7"/>
    <n v="0"/>
    <n v="34"/>
    <n v="34"/>
  </r>
  <r>
    <x v="4"/>
    <d v="2022-12-07T00:00:00"/>
    <d v="2022-12-07T00:00:00"/>
    <x v="3"/>
    <s v="AM"/>
    <s v="00:00:14"/>
    <n v="2"/>
    <n v="0"/>
    <n v="31"/>
    <n v="31"/>
  </r>
  <r>
    <x v="4"/>
    <d v="2022-12-07T00:00:00"/>
    <d v="2022-12-07T00:00:00"/>
    <x v="4"/>
    <s v="PM"/>
    <s v="00:00:45"/>
    <n v="5"/>
    <n v="0"/>
    <n v="40"/>
    <n v="40"/>
  </r>
  <r>
    <x v="4"/>
    <d v="2022-12-07T00:00:00"/>
    <d v="2022-12-07T00:00:00"/>
    <x v="5"/>
    <s v="PM"/>
    <s v="00:00:16"/>
    <n v="5"/>
    <n v="0"/>
    <n v="39"/>
    <n v="40"/>
  </r>
  <r>
    <x v="4"/>
    <d v="2022-12-07T00:00:00"/>
    <d v="2022-12-07T00:00:00"/>
    <x v="6"/>
    <s v="PM"/>
    <s v="00:00:13"/>
    <n v="3"/>
    <n v="0"/>
    <n v="35"/>
    <n v="35"/>
  </r>
  <r>
    <x v="4"/>
    <d v="2022-12-07T00:00:00"/>
    <d v="2022-12-07T00:00:00"/>
    <x v="7"/>
    <s v="PM"/>
    <s v="00:00:55"/>
    <n v="6"/>
    <n v="0"/>
    <n v="32"/>
    <n v="32"/>
  </r>
  <r>
    <x v="4"/>
    <d v="2022-12-07T00:00:00"/>
    <d v="2022-12-07T00:00:00"/>
    <x v="8"/>
    <s v="PM"/>
    <s v="00:00:20"/>
    <n v="3"/>
    <n v="0"/>
    <n v="14"/>
    <n v="14"/>
  </r>
  <r>
    <x v="0"/>
    <d v="2022-12-08T00:00:00"/>
    <d v="2022-12-08T00:00:00"/>
    <x v="0"/>
    <s v="AM"/>
    <s v="00:00:34"/>
    <n v="2"/>
    <n v="0"/>
    <n v="14"/>
    <n v="14"/>
  </r>
  <r>
    <x v="0"/>
    <d v="2022-12-08T00:00:00"/>
    <d v="2022-12-08T00:00:00"/>
    <x v="1"/>
    <s v="AM"/>
    <s v="00:03:16"/>
    <n v="5"/>
    <n v="1"/>
    <n v="27"/>
    <n v="28"/>
  </r>
  <r>
    <x v="0"/>
    <d v="2022-12-08T00:00:00"/>
    <d v="2022-12-08T00:00:00"/>
    <x v="2"/>
    <s v="AM"/>
    <s v="00:01:16"/>
    <n v="3"/>
    <n v="0"/>
    <n v="27"/>
    <n v="27"/>
  </r>
  <r>
    <x v="0"/>
    <d v="2022-12-08T00:00:00"/>
    <d v="2022-12-08T00:00:00"/>
    <x v="3"/>
    <s v="AM"/>
    <s v="00:00:16"/>
    <n v="4"/>
    <n v="0"/>
    <n v="41"/>
    <n v="41"/>
  </r>
  <r>
    <x v="0"/>
    <d v="2022-12-08T00:00:00"/>
    <d v="2022-12-08T00:00:00"/>
    <x v="4"/>
    <s v="PM"/>
    <s v="00:00:14"/>
    <n v="0"/>
    <n v="0"/>
    <n v="21"/>
    <n v="21"/>
  </r>
  <r>
    <x v="0"/>
    <d v="2022-12-08T00:00:00"/>
    <d v="2022-12-08T00:00:00"/>
    <x v="5"/>
    <s v="PM"/>
    <s v="00:00:21"/>
    <n v="2"/>
    <n v="0"/>
    <n v="36"/>
    <n v="36"/>
  </r>
  <r>
    <x v="0"/>
    <d v="2022-12-08T00:00:00"/>
    <d v="2022-12-08T00:00:00"/>
    <x v="6"/>
    <s v="PM"/>
    <s v="00:00:12"/>
    <n v="2"/>
    <n v="0"/>
    <n v="28"/>
    <n v="28"/>
  </r>
  <r>
    <x v="0"/>
    <d v="2022-12-08T00:00:00"/>
    <d v="2022-12-08T00:00:00"/>
    <x v="7"/>
    <s v="PM"/>
    <s v="00:00:07"/>
    <n v="0"/>
    <n v="0"/>
    <n v="24"/>
    <n v="24"/>
  </r>
  <r>
    <x v="0"/>
    <d v="2022-12-08T00:00:00"/>
    <d v="2022-12-08T00:00:00"/>
    <x v="8"/>
    <s v="PM"/>
    <s v="00:00:23"/>
    <n v="5"/>
    <n v="0"/>
    <n v="23"/>
    <n v="23"/>
  </r>
  <r>
    <x v="1"/>
    <d v="2022-12-09T00:00:00"/>
    <d v="2022-12-09T00:00:00"/>
    <x v="0"/>
    <s v="AM"/>
    <s v="00:00:11"/>
    <n v="1"/>
    <n v="0"/>
    <n v="20"/>
    <n v="20"/>
  </r>
  <r>
    <x v="1"/>
    <d v="2022-12-09T00:00:00"/>
    <d v="2022-12-09T00:00:00"/>
    <x v="1"/>
    <s v="AM"/>
    <s v="00:00:09"/>
    <n v="1"/>
    <n v="0"/>
    <n v="33"/>
    <n v="33"/>
  </r>
  <r>
    <x v="1"/>
    <d v="2022-12-09T00:00:00"/>
    <d v="2022-12-09T00:00:00"/>
    <x v="2"/>
    <s v="AM"/>
    <s v="00:00:13"/>
    <n v="4"/>
    <n v="0"/>
    <n v="32"/>
    <n v="33"/>
  </r>
  <r>
    <x v="1"/>
    <d v="2022-12-09T00:00:00"/>
    <d v="2022-12-09T00:00:00"/>
    <x v="3"/>
    <s v="AM"/>
    <s v="00:00:15"/>
    <n v="7"/>
    <n v="0"/>
    <n v="36"/>
    <n v="36"/>
  </r>
  <r>
    <x v="1"/>
    <d v="2022-12-09T00:00:00"/>
    <d v="2022-12-09T00:00:00"/>
    <x v="4"/>
    <s v="PM"/>
    <s v="00:00:33"/>
    <n v="1"/>
    <n v="0"/>
    <n v="36"/>
    <n v="36"/>
  </r>
  <r>
    <x v="1"/>
    <d v="2022-12-09T00:00:00"/>
    <d v="2022-12-09T00:00:00"/>
    <x v="5"/>
    <s v="PM"/>
    <s v="00:00:23"/>
    <n v="5"/>
    <n v="0"/>
    <n v="37"/>
    <n v="37"/>
  </r>
  <r>
    <x v="1"/>
    <d v="2022-12-09T00:00:00"/>
    <d v="2022-12-09T00:00:00"/>
    <x v="6"/>
    <s v="PM"/>
    <s v="00:00:12"/>
    <n v="3"/>
    <n v="0"/>
    <n v="25"/>
    <n v="25"/>
  </r>
  <r>
    <x v="1"/>
    <d v="2022-12-09T00:00:00"/>
    <d v="2022-12-09T00:00:00"/>
    <x v="7"/>
    <s v="PM"/>
    <s v="00:00:10"/>
    <n v="3"/>
    <n v="0"/>
    <n v="29"/>
    <n v="29"/>
  </r>
  <r>
    <x v="1"/>
    <d v="2022-12-09T00:00:00"/>
    <d v="2022-12-09T00:00:00"/>
    <x v="8"/>
    <s v="PM"/>
    <s v="00:00:09"/>
    <n v="2"/>
    <n v="0"/>
    <n v="23"/>
    <n v="23"/>
  </r>
  <r>
    <x v="2"/>
    <d v="2022-12-12T00:00:00"/>
    <d v="2022-12-12T00:00:00"/>
    <x v="0"/>
    <s v="AM"/>
    <s v="00:00:12"/>
    <n v="2"/>
    <n v="0"/>
    <n v="16"/>
    <n v="16"/>
  </r>
  <r>
    <x v="2"/>
    <d v="2022-12-12T00:00:00"/>
    <d v="2022-12-12T00:00:00"/>
    <x v="1"/>
    <s v="AM"/>
    <s v="00:00:15"/>
    <n v="4"/>
    <n v="0"/>
    <n v="34"/>
    <n v="34"/>
  </r>
  <r>
    <x v="2"/>
    <d v="2022-12-12T00:00:00"/>
    <d v="2022-12-12T00:00:00"/>
    <x v="2"/>
    <s v="AM"/>
    <s v="00:00:16"/>
    <n v="4"/>
    <n v="0"/>
    <n v="37"/>
    <n v="37"/>
  </r>
  <r>
    <x v="2"/>
    <d v="2022-12-12T00:00:00"/>
    <d v="2022-12-12T00:00:00"/>
    <x v="3"/>
    <s v="AM"/>
    <s v="00:00:38"/>
    <n v="14"/>
    <n v="1"/>
    <n v="31"/>
    <n v="32"/>
  </r>
  <r>
    <x v="2"/>
    <d v="2022-12-12T00:00:00"/>
    <d v="2022-12-12T00:00:00"/>
    <x v="4"/>
    <s v="PM"/>
    <s v="00:02:07"/>
    <n v="10"/>
    <n v="0"/>
    <n v="38"/>
    <n v="38"/>
  </r>
  <r>
    <x v="2"/>
    <d v="2022-12-12T00:00:00"/>
    <d v="2022-12-12T00:00:00"/>
    <x v="5"/>
    <s v="PM"/>
    <s v="00:07:49"/>
    <n v="7"/>
    <n v="2"/>
    <n v="43"/>
    <n v="45"/>
  </r>
  <r>
    <x v="2"/>
    <d v="2022-12-12T00:00:00"/>
    <d v="2022-12-12T00:00:00"/>
    <x v="6"/>
    <s v="PM"/>
    <s v="00:00:32"/>
    <n v="1"/>
    <n v="0"/>
    <n v="43"/>
    <n v="43"/>
  </r>
  <r>
    <x v="2"/>
    <d v="2022-12-12T00:00:00"/>
    <d v="2022-12-12T00:00:00"/>
    <x v="7"/>
    <s v="PM"/>
    <s v="00:00:38"/>
    <n v="5"/>
    <n v="0"/>
    <n v="35"/>
    <n v="35"/>
  </r>
  <r>
    <x v="2"/>
    <d v="2022-12-12T00:00:00"/>
    <d v="2022-12-12T00:00:00"/>
    <x v="8"/>
    <s v="PM"/>
    <s v="00:00:14"/>
    <n v="2"/>
    <n v="0"/>
    <n v="23"/>
    <n v="23"/>
  </r>
  <r>
    <x v="2"/>
    <d v="2022-12-12T00:00:00"/>
    <d v="2022-12-12T00:00:00"/>
    <x v="9"/>
    <s v="PM"/>
    <s v="00:00:05"/>
    <n v="0"/>
    <n v="0"/>
    <n v="1"/>
    <n v="1"/>
  </r>
  <r>
    <x v="3"/>
    <d v="2022-12-13T00:00:00"/>
    <d v="2022-12-13T00:00:00"/>
    <x v="0"/>
    <s v="AM"/>
    <s v="00:00:22"/>
    <n v="2"/>
    <n v="0"/>
    <n v="10"/>
    <n v="10"/>
  </r>
  <r>
    <x v="3"/>
    <d v="2022-12-13T00:00:00"/>
    <d v="2022-12-13T00:00:00"/>
    <x v="1"/>
    <s v="AM"/>
    <s v="00:00:22"/>
    <n v="4"/>
    <n v="0"/>
    <n v="20"/>
    <n v="20"/>
  </r>
  <r>
    <x v="3"/>
    <d v="2022-12-13T00:00:00"/>
    <d v="2022-12-13T00:00:00"/>
    <x v="2"/>
    <s v="AM"/>
    <s v="00:00:14"/>
    <n v="2"/>
    <n v="0"/>
    <n v="30"/>
    <n v="30"/>
  </r>
  <r>
    <x v="3"/>
    <d v="2022-12-13T00:00:00"/>
    <d v="2022-12-13T00:00:00"/>
    <x v="3"/>
    <s v="AM"/>
    <s v="00:00:09"/>
    <n v="1"/>
    <n v="0"/>
    <n v="26"/>
    <n v="26"/>
  </r>
  <r>
    <x v="3"/>
    <d v="2022-12-13T00:00:00"/>
    <d v="2022-12-13T00:00:00"/>
    <x v="4"/>
    <s v="PM"/>
    <s v="00:00:09"/>
    <n v="1"/>
    <n v="0"/>
    <n v="42"/>
    <n v="42"/>
  </r>
  <r>
    <x v="3"/>
    <d v="2022-12-13T00:00:00"/>
    <d v="2022-12-13T00:00:00"/>
    <x v="5"/>
    <s v="PM"/>
    <s v="00:00:14"/>
    <n v="2"/>
    <n v="0"/>
    <n v="23"/>
    <n v="23"/>
  </r>
  <r>
    <x v="3"/>
    <d v="2022-12-13T00:00:00"/>
    <d v="2022-12-13T00:00:00"/>
    <x v="6"/>
    <s v="PM"/>
    <s v="00:00:15"/>
    <n v="3"/>
    <n v="0"/>
    <n v="18"/>
    <n v="18"/>
  </r>
  <r>
    <x v="3"/>
    <d v="2022-12-13T00:00:00"/>
    <d v="2022-12-13T00:00:00"/>
    <x v="7"/>
    <s v="PM"/>
    <s v="00:00:07"/>
    <n v="1"/>
    <n v="0"/>
    <n v="19"/>
    <n v="19"/>
  </r>
  <r>
    <x v="3"/>
    <d v="2022-12-13T00:00:00"/>
    <d v="2022-12-13T00:00:00"/>
    <x v="8"/>
    <s v="PM"/>
    <s v="00:02:54"/>
    <n v="2"/>
    <n v="0"/>
    <n v="20"/>
    <n v="20"/>
  </r>
  <r>
    <x v="4"/>
    <d v="2022-12-14T00:00:00"/>
    <d v="2022-12-14T00:00:00"/>
    <x v="0"/>
    <s v="AM"/>
    <s v="00:00:54"/>
    <n v="0"/>
    <n v="0"/>
    <n v="20"/>
    <n v="20"/>
  </r>
  <r>
    <x v="4"/>
    <d v="2022-12-14T00:00:00"/>
    <d v="2022-12-14T00:00:00"/>
    <x v="1"/>
    <s v="AM"/>
    <s v="00:00:10"/>
    <n v="3"/>
    <n v="0"/>
    <n v="19"/>
    <n v="19"/>
  </r>
  <r>
    <x v="4"/>
    <d v="2022-12-14T00:00:00"/>
    <d v="2022-12-14T00:00:00"/>
    <x v="2"/>
    <s v="AM"/>
    <s v="00:00:11"/>
    <n v="2"/>
    <n v="0"/>
    <n v="36"/>
    <n v="36"/>
  </r>
  <r>
    <x v="4"/>
    <d v="2022-12-14T00:00:00"/>
    <d v="2022-12-14T00:00:00"/>
    <x v="3"/>
    <s v="AM"/>
    <s v="00:00:12"/>
    <n v="2"/>
    <n v="0"/>
    <n v="31"/>
    <n v="31"/>
  </r>
  <r>
    <x v="4"/>
    <d v="2022-12-14T00:00:00"/>
    <d v="2022-12-14T00:00:00"/>
    <x v="4"/>
    <s v="PM"/>
    <s v="00:00:11"/>
    <n v="4"/>
    <n v="0"/>
    <n v="41"/>
    <n v="41"/>
  </r>
  <r>
    <x v="4"/>
    <d v="2022-12-14T00:00:00"/>
    <d v="2022-12-14T00:00:00"/>
    <x v="5"/>
    <s v="PM"/>
    <s v="00:00:16"/>
    <n v="5"/>
    <n v="0"/>
    <n v="39"/>
    <n v="39"/>
  </r>
  <r>
    <x v="4"/>
    <d v="2022-12-14T00:00:00"/>
    <d v="2022-12-14T00:00:00"/>
    <x v="6"/>
    <s v="PM"/>
    <s v="00:00:12"/>
    <n v="2"/>
    <n v="0"/>
    <n v="31"/>
    <n v="31"/>
  </r>
  <r>
    <x v="4"/>
    <d v="2022-12-14T00:00:00"/>
    <d v="2022-12-14T00:00:00"/>
    <x v="7"/>
    <s v="PM"/>
    <s v="00:00:09"/>
    <n v="1"/>
    <n v="0"/>
    <n v="31"/>
    <n v="31"/>
  </r>
  <r>
    <x v="4"/>
    <d v="2022-12-14T00:00:00"/>
    <d v="2022-12-14T00:00:00"/>
    <x v="8"/>
    <s v="PM"/>
    <s v="00:00:10"/>
    <n v="1"/>
    <n v="0"/>
    <n v="18"/>
    <n v="18"/>
  </r>
  <r>
    <x v="4"/>
    <d v="2022-12-14T00:00:00"/>
    <d v="2022-12-14T00:00:00"/>
    <x v="9"/>
    <s v="PM"/>
    <s v="00:00:05"/>
    <n v="0"/>
    <n v="0"/>
    <n v="1"/>
    <n v="1"/>
  </r>
  <r>
    <x v="0"/>
    <d v="2022-12-15T00:00:00"/>
    <d v="2022-12-15T00:00:00"/>
    <x v="0"/>
    <s v="AM"/>
    <s v="00:00:33"/>
    <n v="4"/>
    <n v="1"/>
    <n v="17"/>
    <n v="19"/>
  </r>
  <r>
    <x v="0"/>
    <d v="2022-12-15T00:00:00"/>
    <d v="2022-12-15T00:00:00"/>
    <x v="1"/>
    <s v="AM"/>
    <s v="00:01:26"/>
    <n v="3"/>
    <n v="0"/>
    <n v="27"/>
    <n v="27"/>
  </r>
  <r>
    <x v="0"/>
    <d v="2022-12-15T00:00:00"/>
    <d v="2022-12-15T00:00:00"/>
    <x v="2"/>
    <s v="AM"/>
    <s v="00:01:58"/>
    <n v="6"/>
    <n v="0"/>
    <n v="30"/>
    <n v="30"/>
  </r>
  <r>
    <x v="0"/>
    <d v="2022-12-15T00:00:00"/>
    <d v="2022-12-15T00:00:00"/>
    <x v="3"/>
    <s v="AM"/>
    <s v="00:00:21"/>
    <n v="4"/>
    <n v="0"/>
    <n v="30"/>
    <n v="30"/>
  </r>
  <r>
    <x v="0"/>
    <d v="2022-12-15T00:00:00"/>
    <d v="2022-12-15T00:00:00"/>
    <x v="4"/>
    <s v="PM"/>
    <s v="00:00:12"/>
    <n v="3"/>
    <n v="0"/>
    <n v="52"/>
    <n v="52"/>
  </r>
  <r>
    <x v="0"/>
    <d v="2022-12-15T00:00:00"/>
    <d v="2022-12-15T00:00:00"/>
    <x v="5"/>
    <s v="PM"/>
    <s v="00:00:14"/>
    <n v="4"/>
    <n v="0"/>
    <n v="38"/>
    <n v="38"/>
  </r>
  <r>
    <x v="0"/>
    <d v="2022-12-15T00:00:00"/>
    <d v="2022-12-15T00:00:00"/>
    <x v="6"/>
    <s v="PM"/>
    <s v="00:02:42"/>
    <n v="2"/>
    <n v="0"/>
    <n v="35"/>
    <n v="35"/>
  </r>
  <r>
    <x v="0"/>
    <d v="2022-12-15T00:00:00"/>
    <d v="2022-12-15T00:00:00"/>
    <x v="7"/>
    <s v="PM"/>
    <s v="00:10:43"/>
    <n v="3"/>
    <n v="8"/>
    <n v="18"/>
    <n v="26"/>
  </r>
  <r>
    <x v="0"/>
    <d v="2022-12-15T00:00:00"/>
    <d v="2022-12-15T00:00:00"/>
    <x v="8"/>
    <s v="PM"/>
    <s v="00:13:45"/>
    <n v="0"/>
    <n v="14"/>
    <n v="13"/>
    <n v="27"/>
  </r>
  <r>
    <x v="1"/>
    <d v="2022-12-16T00:00:00"/>
    <d v="2022-12-16T00:00:00"/>
    <x v="0"/>
    <s v="AM"/>
    <s v="00:00:11"/>
    <n v="1"/>
    <n v="0"/>
    <n v="14"/>
    <n v="14"/>
  </r>
  <r>
    <x v="1"/>
    <d v="2022-12-16T00:00:00"/>
    <d v="2022-12-16T00:00:00"/>
    <x v="1"/>
    <s v="AM"/>
    <s v="00:00:10"/>
    <n v="0"/>
    <n v="0"/>
    <n v="20"/>
    <n v="20"/>
  </r>
  <r>
    <x v="1"/>
    <d v="2022-12-16T00:00:00"/>
    <d v="2022-12-16T00:00:00"/>
    <x v="2"/>
    <s v="AM"/>
    <s v="00:02:29"/>
    <n v="3"/>
    <n v="2"/>
    <n v="33"/>
    <n v="35"/>
  </r>
  <r>
    <x v="1"/>
    <d v="2022-12-16T00:00:00"/>
    <d v="2022-12-16T00:00:00"/>
    <x v="3"/>
    <s v="AM"/>
    <s v="00:00:22"/>
    <n v="1"/>
    <n v="0"/>
    <n v="29"/>
    <n v="29"/>
  </r>
  <r>
    <x v="1"/>
    <d v="2022-12-16T00:00:00"/>
    <d v="2022-12-16T00:00:00"/>
    <x v="4"/>
    <s v="PM"/>
    <s v="00:00:11"/>
    <n v="3"/>
    <n v="0"/>
    <n v="42"/>
    <n v="42"/>
  </r>
  <r>
    <x v="1"/>
    <d v="2022-12-16T00:00:00"/>
    <d v="2022-12-16T00:00:00"/>
    <x v="5"/>
    <s v="PM"/>
    <s v="00:00:12"/>
    <n v="2"/>
    <n v="0"/>
    <n v="43"/>
    <n v="43"/>
  </r>
  <r>
    <x v="1"/>
    <d v="2022-12-16T00:00:00"/>
    <d v="2022-12-16T00:00:00"/>
    <x v="6"/>
    <s v="PM"/>
    <s v="00:00:17"/>
    <n v="4"/>
    <n v="0"/>
    <n v="28"/>
    <n v="28"/>
  </r>
  <r>
    <x v="1"/>
    <d v="2022-12-16T00:00:00"/>
    <d v="2022-12-16T00:00:00"/>
    <x v="7"/>
    <s v="PM"/>
    <s v="00:00:13"/>
    <n v="2"/>
    <n v="0"/>
    <n v="28"/>
    <n v="28"/>
  </r>
  <r>
    <x v="1"/>
    <d v="2022-12-16T00:00:00"/>
    <d v="2022-12-16T00:00:00"/>
    <x v="8"/>
    <s v="PM"/>
    <s v="00:00:07"/>
    <n v="2"/>
    <n v="0"/>
    <n v="23"/>
    <n v="23"/>
  </r>
  <r>
    <x v="2"/>
    <d v="2022-12-19T00:00:00"/>
    <d v="2022-12-19T00:00:00"/>
    <x v="0"/>
    <s v="AM"/>
    <s v="00:00:07"/>
    <n v="0"/>
    <n v="0"/>
    <n v="10"/>
    <n v="10"/>
  </r>
  <r>
    <x v="2"/>
    <d v="2022-12-19T00:00:00"/>
    <d v="2022-12-19T00:00:00"/>
    <x v="1"/>
    <s v="AM"/>
    <s v="00:00:43"/>
    <n v="1"/>
    <n v="0"/>
    <n v="21"/>
    <n v="21"/>
  </r>
  <r>
    <x v="2"/>
    <d v="2022-12-19T00:00:00"/>
    <d v="2022-12-19T00:00:00"/>
    <x v="2"/>
    <s v="AM"/>
    <s v="00:00:08"/>
    <n v="1"/>
    <n v="0"/>
    <n v="36"/>
    <n v="36"/>
  </r>
  <r>
    <x v="2"/>
    <d v="2022-12-19T00:00:00"/>
    <d v="2022-12-19T00:00:00"/>
    <x v="3"/>
    <s v="AM"/>
    <s v="00:00:12"/>
    <n v="2"/>
    <n v="0"/>
    <n v="32"/>
    <n v="32"/>
  </r>
  <r>
    <x v="2"/>
    <d v="2022-12-19T00:00:00"/>
    <d v="2022-12-19T00:00:00"/>
    <x v="4"/>
    <s v="PM"/>
    <s v="00:00:30"/>
    <n v="1"/>
    <n v="1"/>
    <n v="53"/>
    <n v="54"/>
  </r>
  <r>
    <x v="2"/>
    <d v="2022-12-19T00:00:00"/>
    <d v="2022-12-19T00:00:00"/>
    <x v="5"/>
    <s v="PM"/>
    <s v="00:00:06"/>
    <n v="0"/>
    <n v="0"/>
    <n v="31"/>
    <n v="31"/>
  </r>
  <r>
    <x v="2"/>
    <d v="2022-12-19T00:00:00"/>
    <d v="2022-12-19T00:00:00"/>
    <x v="6"/>
    <s v="PM"/>
    <s v="00:00:15"/>
    <n v="3"/>
    <n v="0"/>
    <n v="27"/>
    <n v="27"/>
  </r>
  <r>
    <x v="2"/>
    <d v="2022-12-19T00:00:00"/>
    <d v="2022-12-19T00:00:00"/>
    <x v="7"/>
    <s v="PM"/>
    <s v="00:00:08"/>
    <n v="0"/>
    <n v="0"/>
    <n v="27"/>
    <n v="27"/>
  </r>
  <r>
    <x v="2"/>
    <d v="2022-12-19T00:00:00"/>
    <d v="2022-12-19T00:00:00"/>
    <x v="8"/>
    <s v="PM"/>
    <s v="00:00:17"/>
    <n v="1"/>
    <n v="0"/>
    <n v="18"/>
    <n v="18"/>
  </r>
  <r>
    <x v="3"/>
    <d v="2022-12-20T00:00:00"/>
    <d v="2022-12-20T00:00:00"/>
    <x v="0"/>
    <s v="AM"/>
    <s v="00:00:16"/>
    <n v="2"/>
    <n v="0"/>
    <n v="11"/>
    <n v="11"/>
  </r>
  <r>
    <x v="3"/>
    <d v="2022-12-20T00:00:00"/>
    <d v="2022-12-20T00:00:00"/>
    <x v="1"/>
    <s v="AM"/>
    <s v="00:01:03"/>
    <n v="4"/>
    <n v="0"/>
    <n v="22"/>
    <n v="22"/>
  </r>
  <r>
    <x v="3"/>
    <d v="2022-12-20T00:00:00"/>
    <d v="2022-12-20T00:00:00"/>
    <x v="2"/>
    <s v="AM"/>
    <s v="00:00:10"/>
    <n v="3"/>
    <n v="0"/>
    <n v="47"/>
    <n v="47"/>
  </r>
  <r>
    <x v="3"/>
    <d v="2022-12-20T00:00:00"/>
    <d v="2022-12-20T00:00:00"/>
    <x v="3"/>
    <s v="AM"/>
    <s v="00:00:09"/>
    <n v="2"/>
    <n v="0"/>
    <n v="34"/>
    <n v="34"/>
  </r>
  <r>
    <x v="3"/>
    <d v="2022-12-20T00:00:00"/>
    <d v="2022-12-20T00:00:00"/>
    <x v="4"/>
    <s v="PM"/>
    <s v="00:00:09"/>
    <n v="2"/>
    <n v="0"/>
    <n v="33"/>
    <n v="33"/>
  </r>
  <r>
    <x v="3"/>
    <d v="2022-12-20T00:00:00"/>
    <d v="2022-12-20T00:00:00"/>
    <x v="5"/>
    <s v="PM"/>
    <s v="00:00:06"/>
    <n v="0"/>
    <n v="0"/>
    <n v="30"/>
    <n v="30"/>
  </r>
  <r>
    <x v="3"/>
    <d v="2022-12-20T00:00:00"/>
    <d v="2022-12-20T00:00:00"/>
    <x v="6"/>
    <s v="PM"/>
    <s v="00:05:05"/>
    <n v="3"/>
    <n v="3"/>
    <n v="47"/>
    <n v="50"/>
  </r>
  <r>
    <x v="3"/>
    <d v="2022-12-20T00:00:00"/>
    <d v="2022-12-20T00:00:00"/>
    <x v="7"/>
    <s v="PM"/>
    <s v="00:04:14"/>
    <n v="1"/>
    <n v="0"/>
    <n v="33"/>
    <n v="33"/>
  </r>
  <r>
    <x v="3"/>
    <d v="2022-12-20T00:00:00"/>
    <d v="2022-12-20T00:00:00"/>
    <x v="8"/>
    <s v="PM"/>
    <s v="00:00:08"/>
    <n v="1"/>
    <n v="0"/>
    <n v="27"/>
    <n v="28"/>
  </r>
  <r>
    <x v="4"/>
    <d v="2022-12-21T00:00:00"/>
    <d v="2022-12-21T00:00:00"/>
    <x v="0"/>
    <s v="AM"/>
    <s v="00:03:50"/>
    <n v="0"/>
    <n v="1"/>
    <n v="11"/>
    <n v="12"/>
  </r>
  <r>
    <x v="4"/>
    <d v="2022-12-21T00:00:00"/>
    <d v="2022-12-21T00:00:00"/>
    <x v="1"/>
    <s v="AM"/>
    <s v="00:00:08"/>
    <n v="1"/>
    <n v="0"/>
    <n v="31"/>
    <n v="31"/>
  </r>
  <r>
    <x v="4"/>
    <d v="2022-12-21T00:00:00"/>
    <d v="2022-12-21T00:00:00"/>
    <x v="2"/>
    <s v="AM"/>
    <s v="00:00:11"/>
    <n v="1"/>
    <n v="0"/>
    <n v="24"/>
    <n v="24"/>
  </r>
  <r>
    <x v="4"/>
    <d v="2022-12-21T00:00:00"/>
    <d v="2022-12-21T00:00:00"/>
    <x v="3"/>
    <s v="AM"/>
    <s v="00:00:14"/>
    <n v="4"/>
    <n v="0"/>
    <n v="32"/>
    <n v="32"/>
  </r>
  <r>
    <x v="4"/>
    <d v="2022-12-21T00:00:00"/>
    <d v="2022-12-21T00:00:00"/>
    <x v="4"/>
    <s v="PM"/>
    <s v="00:00:12"/>
    <n v="3"/>
    <n v="0"/>
    <n v="26"/>
    <n v="26"/>
  </r>
  <r>
    <x v="4"/>
    <d v="2022-12-21T00:00:00"/>
    <d v="2022-12-21T00:00:00"/>
    <x v="5"/>
    <s v="PM"/>
    <s v="00:00:10"/>
    <n v="3"/>
    <n v="0"/>
    <n v="28"/>
    <n v="29"/>
  </r>
  <r>
    <x v="4"/>
    <d v="2022-12-21T00:00:00"/>
    <d v="2022-12-21T00:00:00"/>
    <x v="6"/>
    <s v="PM"/>
    <s v="00:00:09"/>
    <n v="1"/>
    <n v="0"/>
    <n v="31"/>
    <n v="31"/>
  </r>
  <r>
    <x v="4"/>
    <d v="2022-12-21T00:00:00"/>
    <d v="2022-12-21T00:00:00"/>
    <x v="7"/>
    <s v="PM"/>
    <s v="00:00:09"/>
    <n v="1"/>
    <n v="0"/>
    <n v="31"/>
    <n v="31"/>
  </r>
  <r>
    <x v="4"/>
    <d v="2022-12-21T00:00:00"/>
    <d v="2022-12-21T00:00:00"/>
    <x v="8"/>
    <s v="PM"/>
    <s v="00:00:10"/>
    <n v="1"/>
    <n v="0"/>
    <n v="18"/>
    <n v="18"/>
  </r>
  <r>
    <x v="0"/>
    <d v="2022-12-22T00:00:00"/>
    <d v="2022-12-22T00:00:00"/>
    <x v="0"/>
    <s v="AM"/>
    <s v="00:00:13"/>
    <n v="2"/>
    <n v="0"/>
    <n v="17"/>
    <n v="17"/>
  </r>
  <r>
    <x v="0"/>
    <d v="2022-12-22T00:00:00"/>
    <d v="2022-12-22T00:00:00"/>
    <x v="1"/>
    <s v="AM"/>
    <s v="00:00:56"/>
    <n v="0"/>
    <n v="0"/>
    <n v="21"/>
    <n v="21"/>
  </r>
  <r>
    <x v="0"/>
    <d v="2022-12-22T00:00:00"/>
    <d v="2022-12-22T00:00:00"/>
    <x v="2"/>
    <s v="AM"/>
    <s v="00:00:07"/>
    <n v="0"/>
    <n v="0"/>
    <n v="28"/>
    <n v="28"/>
  </r>
  <r>
    <x v="0"/>
    <d v="2022-12-22T00:00:00"/>
    <d v="2022-12-22T00:00:00"/>
    <x v="3"/>
    <s v="AM"/>
    <s v="00:00:06"/>
    <n v="0"/>
    <n v="0"/>
    <n v="33"/>
    <n v="33"/>
  </r>
  <r>
    <x v="0"/>
    <d v="2022-12-22T00:00:00"/>
    <d v="2022-12-22T00:00:00"/>
    <x v="4"/>
    <s v="PM"/>
    <s v="00:00:06"/>
    <n v="0"/>
    <n v="0"/>
    <n v="24"/>
    <n v="24"/>
  </r>
  <r>
    <x v="0"/>
    <d v="2022-12-22T00:00:00"/>
    <d v="2022-12-22T00:00:00"/>
    <x v="5"/>
    <s v="PM"/>
    <s v="00:00:09"/>
    <n v="1"/>
    <n v="0"/>
    <n v="30"/>
    <n v="30"/>
  </r>
  <r>
    <x v="0"/>
    <d v="2022-12-22T00:00:00"/>
    <d v="2022-12-22T00:00:00"/>
    <x v="6"/>
    <s v="PM"/>
    <s v="00:00:08"/>
    <n v="1"/>
    <n v="0"/>
    <n v="25"/>
    <n v="25"/>
  </r>
  <r>
    <x v="0"/>
    <d v="2022-12-22T00:00:00"/>
    <d v="2022-12-22T00:00:00"/>
    <x v="7"/>
    <s v="PM"/>
    <s v="00:00:06"/>
    <n v="0"/>
    <n v="0"/>
    <n v="29"/>
    <n v="29"/>
  </r>
  <r>
    <x v="0"/>
    <d v="2022-12-22T00:00:00"/>
    <d v="2022-12-22T00:00:00"/>
    <x v="8"/>
    <s v="PM"/>
    <s v="00:00:09"/>
    <n v="1"/>
    <n v="0"/>
    <n v="28"/>
    <n v="28"/>
  </r>
  <r>
    <x v="1"/>
    <d v="2022-12-23T00:00:00"/>
    <d v="2022-12-23T00:00:00"/>
    <x v="0"/>
    <s v="AM"/>
    <s v="00:00:23"/>
    <n v="4"/>
    <n v="0"/>
    <n v="12"/>
    <n v="12"/>
  </r>
  <r>
    <x v="1"/>
    <d v="2022-12-23T00:00:00"/>
    <d v="2022-12-23T00:00:00"/>
    <x v="1"/>
    <s v="AM"/>
    <s v="00:00:09"/>
    <n v="1"/>
    <n v="0"/>
    <n v="20"/>
    <n v="20"/>
  </r>
  <r>
    <x v="1"/>
    <d v="2022-12-23T00:00:00"/>
    <d v="2022-12-23T00:00:00"/>
    <x v="2"/>
    <s v="AM"/>
    <s v="00:00:11"/>
    <n v="2"/>
    <n v="0"/>
    <n v="25"/>
    <n v="25"/>
  </r>
  <r>
    <x v="1"/>
    <d v="2022-12-23T00:00:00"/>
    <d v="2022-12-23T00:00:00"/>
    <x v="3"/>
    <s v="AM"/>
    <s v="00:00:10"/>
    <n v="2"/>
    <n v="0"/>
    <n v="34"/>
    <n v="34"/>
  </r>
  <r>
    <x v="1"/>
    <d v="2022-12-23T00:00:00"/>
    <d v="2022-12-23T00:00:00"/>
    <x v="4"/>
    <s v="PM"/>
    <s v="00:00:08"/>
    <n v="1"/>
    <n v="0"/>
    <n v="38"/>
    <n v="38"/>
  </r>
  <r>
    <x v="1"/>
    <d v="2022-12-23T00:00:00"/>
    <d v="2022-12-23T00:00:00"/>
    <x v="5"/>
    <s v="PM"/>
    <s v="00:00:08"/>
    <n v="0"/>
    <n v="0"/>
    <n v="21"/>
    <n v="21"/>
  </r>
  <r>
    <x v="1"/>
    <d v="2022-12-23T00:00:00"/>
    <d v="2022-12-23T00:00:00"/>
    <x v="6"/>
    <s v="PM"/>
    <s v="00:00:10"/>
    <n v="1"/>
    <n v="0"/>
    <n v="18"/>
    <n v="18"/>
  </r>
  <r>
    <x v="1"/>
    <d v="2022-12-23T00:00:00"/>
    <d v="2022-12-23T00:00:00"/>
    <x v="7"/>
    <s v="PM"/>
    <s v="00:01:50"/>
    <n v="7"/>
    <n v="0"/>
    <n v="28"/>
    <n v="28"/>
  </r>
  <r>
    <x v="1"/>
    <d v="2022-12-23T00:00:00"/>
    <d v="2022-12-23T00:00:00"/>
    <x v="8"/>
    <s v="PM"/>
    <s v="00:00:14"/>
    <n v="2"/>
    <n v="0"/>
    <n v="14"/>
    <n v="14"/>
  </r>
  <r>
    <x v="3"/>
    <d v="2022-12-27T00:00:00"/>
    <d v="2022-12-27T00:00:00"/>
    <x v="0"/>
    <s v="AM"/>
    <s v="00:00:10"/>
    <n v="0"/>
    <n v="1"/>
    <n v="14"/>
    <n v="15"/>
  </r>
  <r>
    <x v="3"/>
    <d v="2022-12-27T00:00:00"/>
    <d v="2022-12-27T00:00:00"/>
    <x v="1"/>
    <s v="AM"/>
    <s v="00:02:42"/>
    <n v="5"/>
    <n v="0"/>
    <n v="30"/>
    <n v="30"/>
  </r>
  <r>
    <x v="3"/>
    <d v="2022-12-27T00:00:00"/>
    <d v="2022-12-27T00:00:00"/>
    <x v="2"/>
    <s v="AM"/>
    <s v="00:02:36"/>
    <n v="7"/>
    <n v="0"/>
    <n v="42"/>
    <n v="42"/>
  </r>
  <r>
    <x v="3"/>
    <d v="2022-12-27T00:00:00"/>
    <d v="2022-12-27T00:00:00"/>
    <x v="3"/>
    <s v="AM"/>
    <s v="00:00:10"/>
    <n v="2"/>
    <n v="0"/>
    <n v="45"/>
    <n v="45"/>
  </r>
  <r>
    <x v="3"/>
    <d v="2022-12-27T00:00:00"/>
    <d v="2022-12-27T00:00:00"/>
    <x v="4"/>
    <s v="PM"/>
    <s v="00:00:17"/>
    <n v="6"/>
    <n v="0"/>
    <n v="36"/>
    <n v="36"/>
  </r>
  <r>
    <x v="3"/>
    <d v="2022-12-27T00:00:00"/>
    <d v="2022-12-27T00:00:00"/>
    <x v="5"/>
    <s v="PM"/>
    <s v="00:00:57"/>
    <n v="4"/>
    <n v="0"/>
    <n v="40"/>
    <n v="40"/>
  </r>
  <r>
    <x v="3"/>
    <d v="2022-12-27T00:00:00"/>
    <d v="2022-12-27T00:00:00"/>
    <x v="6"/>
    <s v="PM"/>
    <s v="00:01:07"/>
    <n v="4"/>
    <n v="1"/>
    <n v="44"/>
    <n v="45"/>
  </r>
  <r>
    <x v="3"/>
    <d v="2022-12-27T00:00:00"/>
    <d v="2022-12-27T00:00:00"/>
    <x v="7"/>
    <s v="PM"/>
    <s v="00:00:15"/>
    <n v="4"/>
    <n v="0"/>
    <n v="33"/>
    <n v="33"/>
  </r>
  <r>
    <x v="3"/>
    <d v="2022-12-27T00:00:00"/>
    <d v="2022-12-27T00:00:00"/>
    <x v="8"/>
    <s v="PM"/>
    <s v="00:02:58"/>
    <n v="5"/>
    <n v="4"/>
    <n v="20"/>
    <n v="24"/>
  </r>
  <r>
    <x v="4"/>
    <d v="2022-12-28T00:00:00"/>
    <d v="2022-12-28T00:00:00"/>
    <x v="0"/>
    <s v="AM"/>
    <s v="00:00:09"/>
    <n v="0"/>
    <n v="0"/>
    <n v="2"/>
    <n v="2"/>
  </r>
  <r>
    <x v="4"/>
    <d v="2022-12-28T00:00:00"/>
    <d v="2022-12-28T00:00:00"/>
    <x v="1"/>
    <s v="AM"/>
    <s v="00:01:09"/>
    <n v="1"/>
    <n v="1"/>
    <n v="25"/>
    <n v="26"/>
  </r>
  <r>
    <x v="4"/>
    <d v="2022-12-28T00:00:00"/>
    <d v="2022-12-28T00:00:00"/>
    <x v="2"/>
    <s v="AM"/>
    <s v="00:00:08"/>
    <n v="0"/>
    <n v="0"/>
    <n v="27"/>
    <n v="27"/>
  </r>
  <r>
    <x v="4"/>
    <d v="2022-12-28T00:00:00"/>
    <d v="2022-12-28T00:00:00"/>
    <x v="3"/>
    <s v="AM"/>
    <s v="00:00:08"/>
    <n v="0"/>
    <n v="0"/>
    <n v="40"/>
    <n v="40"/>
  </r>
  <r>
    <x v="4"/>
    <d v="2022-12-28T00:00:00"/>
    <d v="2022-12-28T00:00:00"/>
    <x v="4"/>
    <s v="PM"/>
    <s v="00:00:26"/>
    <n v="2"/>
    <n v="0"/>
    <n v="33"/>
    <n v="33"/>
  </r>
  <r>
    <x v="4"/>
    <d v="2022-12-28T00:00:00"/>
    <d v="2022-12-28T00:00:00"/>
    <x v="5"/>
    <s v="PM"/>
    <s v="00:00:24"/>
    <n v="1"/>
    <n v="0"/>
    <n v="36"/>
    <n v="36"/>
  </r>
  <r>
    <x v="4"/>
    <d v="2022-12-28T00:00:00"/>
    <d v="2022-12-28T00:00:00"/>
    <x v="6"/>
    <s v="PM"/>
    <s v="00:00:19"/>
    <n v="3"/>
    <n v="0"/>
    <n v="32"/>
    <n v="32"/>
  </r>
  <r>
    <x v="4"/>
    <d v="2022-12-28T00:00:00"/>
    <d v="2022-12-28T00:00:00"/>
    <x v="7"/>
    <s v="PM"/>
    <s v="00:03:20"/>
    <n v="7"/>
    <n v="7"/>
    <n v="29"/>
    <n v="36"/>
  </r>
  <r>
    <x v="4"/>
    <d v="2022-12-28T00:00:00"/>
    <d v="2022-12-28T00:00:00"/>
    <x v="8"/>
    <s v="PM"/>
    <s v="00:01:49"/>
    <n v="4"/>
    <n v="5"/>
    <n v="33"/>
    <n v="38"/>
  </r>
  <r>
    <x v="0"/>
    <d v="2022-12-29T00:00:00"/>
    <d v="2022-12-29T00:00:00"/>
    <x v="0"/>
    <s v="AM"/>
    <s v="00:00:27"/>
    <n v="1"/>
    <n v="0"/>
    <n v="12"/>
    <n v="12"/>
  </r>
  <r>
    <x v="0"/>
    <d v="2022-12-29T00:00:00"/>
    <d v="2022-12-29T00:00:00"/>
    <x v="1"/>
    <s v="AM"/>
    <s v="00:00:14"/>
    <n v="2"/>
    <n v="0"/>
    <n v="33"/>
    <n v="33"/>
  </r>
  <r>
    <x v="0"/>
    <d v="2022-12-29T00:00:00"/>
    <d v="2022-12-29T00:00:00"/>
    <x v="2"/>
    <s v="AM"/>
    <s v="00:00:23"/>
    <n v="1"/>
    <n v="0"/>
    <n v="43"/>
    <n v="43"/>
  </r>
  <r>
    <x v="0"/>
    <d v="2022-12-29T00:00:00"/>
    <d v="2022-12-29T00:00:00"/>
    <x v="3"/>
    <s v="AM"/>
    <s v="00:00:07"/>
    <n v="0"/>
    <n v="0"/>
    <n v="40"/>
    <n v="40"/>
  </r>
  <r>
    <x v="0"/>
    <d v="2022-12-29T00:00:00"/>
    <d v="2022-12-29T00:00:00"/>
    <x v="4"/>
    <s v="PM"/>
    <s v="00:00:35"/>
    <n v="5"/>
    <n v="2"/>
    <n v="34"/>
    <n v="36"/>
  </r>
  <r>
    <x v="0"/>
    <d v="2022-12-29T00:00:00"/>
    <d v="2022-12-29T00:00:00"/>
    <x v="5"/>
    <s v="PM"/>
    <s v="00:00:13"/>
    <n v="2"/>
    <n v="0"/>
    <n v="37"/>
    <n v="37"/>
  </r>
  <r>
    <x v="0"/>
    <d v="2022-12-29T00:00:00"/>
    <d v="2022-12-29T00:00:00"/>
    <x v="6"/>
    <s v="PM"/>
    <s v="00:00:17"/>
    <n v="2"/>
    <n v="2"/>
    <n v="40"/>
    <n v="42"/>
  </r>
  <r>
    <x v="0"/>
    <d v="2022-12-29T00:00:00"/>
    <d v="2022-12-29T00:00:00"/>
    <x v="7"/>
    <s v="PM"/>
    <s v="00:02:00"/>
    <n v="5"/>
    <n v="2"/>
    <n v="34"/>
    <n v="36"/>
  </r>
  <r>
    <x v="0"/>
    <d v="2022-12-29T00:00:00"/>
    <d v="2022-12-29T00:00:00"/>
    <x v="8"/>
    <s v="PM"/>
    <s v="00:00:11"/>
    <n v="2"/>
    <n v="0"/>
    <n v="26"/>
    <n v="26"/>
  </r>
  <r>
    <x v="1"/>
    <d v="2022-12-30T00:00:00"/>
    <d v="2022-12-30T00:00:00"/>
    <x v="0"/>
    <s v="AM"/>
    <s v="00:00:16"/>
    <n v="3"/>
    <n v="3"/>
    <n v="6"/>
    <n v="9"/>
  </r>
  <r>
    <x v="1"/>
    <d v="2022-12-30T00:00:00"/>
    <d v="2022-12-30T00:00:00"/>
    <x v="1"/>
    <s v="AM"/>
    <s v="00:00:24"/>
    <n v="5"/>
    <n v="0"/>
    <n v="22"/>
    <n v="22"/>
  </r>
  <r>
    <x v="1"/>
    <d v="2022-12-30T00:00:00"/>
    <d v="2022-12-30T00:00:00"/>
    <x v="2"/>
    <s v="AM"/>
    <s v="00:00:23"/>
    <n v="4"/>
    <n v="0"/>
    <n v="27"/>
    <n v="27"/>
  </r>
  <r>
    <x v="1"/>
    <d v="2022-12-30T00:00:00"/>
    <d v="2022-12-30T00:00:00"/>
    <x v="3"/>
    <s v="AM"/>
    <s v="00:00:12"/>
    <n v="2"/>
    <n v="0"/>
    <n v="31"/>
    <n v="31"/>
  </r>
  <r>
    <x v="1"/>
    <d v="2022-12-30T00:00:00"/>
    <d v="2022-12-30T00:00:00"/>
    <x v="4"/>
    <s v="PM"/>
    <s v="00:00:13"/>
    <n v="4"/>
    <n v="1"/>
    <n v="35"/>
    <n v="36"/>
  </r>
  <r>
    <x v="1"/>
    <d v="2022-12-30T00:00:00"/>
    <d v="2022-12-30T00:00:00"/>
    <x v="5"/>
    <s v="PM"/>
    <s v="00:00:27"/>
    <n v="2"/>
    <n v="0"/>
    <n v="25"/>
    <n v="25"/>
  </r>
  <r>
    <x v="1"/>
    <d v="2022-12-30T00:00:00"/>
    <d v="2022-12-30T00:00:00"/>
    <x v="6"/>
    <s v="PM"/>
    <s v="00:00:08"/>
    <n v="0"/>
    <n v="0"/>
    <n v="22"/>
    <n v="22"/>
  </r>
  <r>
    <x v="1"/>
    <d v="2022-12-30T00:00:00"/>
    <d v="2022-12-30T00:00:00"/>
    <x v="7"/>
    <s v="PM"/>
    <s v="00:00:08"/>
    <n v="1"/>
    <n v="0"/>
    <n v="23"/>
    <n v="23"/>
  </r>
  <r>
    <x v="1"/>
    <d v="2022-12-30T00:00:00"/>
    <d v="2022-12-30T00:00:00"/>
    <x v="8"/>
    <s v="PM"/>
    <s v="00:00:11"/>
    <n v="3"/>
    <n v="0"/>
    <n v="27"/>
    <n v="27"/>
  </r>
  <r>
    <x v="5"/>
    <d v="1899-12-30T00:00:00"/>
    <m/>
    <x v="10"/>
    <m/>
    <m/>
    <m/>
    <m/>
    <m/>
    <m/>
  </r>
  <r>
    <x v="5"/>
    <d v="1899-12-30T00:00:00"/>
    <m/>
    <x v="10"/>
    <m/>
    <m/>
    <m/>
    <m/>
    <m/>
    <m/>
  </r>
  <r>
    <x v="5"/>
    <d v="1899-12-30T00:00:00"/>
    <m/>
    <x v="10"/>
    <m/>
    <m/>
    <m/>
    <m/>
    <m/>
    <m/>
  </r>
  <r>
    <x v="5"/>
    <d v="1899-12-30T00:00:00"/>
    <m/>
    <x v="10"/>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A00F57-0850-473E-ACB0-A094953A7E8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0:D43" firstHeaderRow="0" firstDataRow="1" firstDataCol="1"/>
  <pivotFields count="25">
    <pivotField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23">
    <i>
      <x/>
    </i>
    <i>
      <x v="336"/>
    </i>
    <i>
      <x v="337"/>
    </i>
    <i>
      <x v="340"/>
    </i>
    <i>
      <x v="341"/>
    </i>
    <i>
      <x v="342"/>
    </i>
    <i>
      <x v="343"/>
    </i>
    <i>
      <x v="344"/>
    </i>
    <i>
      <x v="347"/>
    </i>
    <i>
      <x v="348"/>
    </i>
    <i>
      <x v="349"/>
    </i>
    <i>
      <x v="350"/>
    </i>
    <i>
      <x v="351"/>
    </i>
    <i>
      <x v="354"/>
    </i>
    <i>
      <x v="355"/>
    </i>
    <i>
      <x v="356"/>
    </i>
    <i>
      <x v="357"/>
    </i>
    <i>
      <x v="358"/>
    </i>
    <i>
      <x v="362"/>
    </i>
    <i>
      <x v="363"/>
    </i>
    <i>
      <x v="364"/>
    </i>
    <i>
      <x v="365"/>
    </i>
    <i t="grand">
      <x/>
    </i>
  </rowItems>
  <colFields count="1">
    <field x="-2"/>
  </colFields>
  <colItems count="2">
    <i>
      <x/>
    </i>
    <i i="1">
      <x v="1"/>
    </i>
  </colItems>
  <dataFields count="2">
    <dataField name="Sum of Total Chat Requests" fld="9" baseField="0" baseItem="0"/>
    <dataField name="Sum of Abandoned"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8585E6-6676-4A42-8B9C-34F9700C639E}"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S13" firstHeaderRow="1" firstDataRow="2" firstDataCol="1"/>
  <pivotFields count="13">
    <pivotField axis="axisCol" showAll="0">
      <items count="8">
        <item x="2"/>
        <item x="3"/>
        <item x="4"/>
        <item x="0"/>
        <item x="1"/>
        <item h="1" x="5"/>
        <item h="1" m="1" x="6"/>
        <item t="default"/>
      </items>
    </pivotField>
    <pivotField showAll="0"/>
    <pivotField axis="axisRow" showAll="0">
      <items count="12">
        <item x="0"/>
        <item x="1"/>
        <item x="2"/>
        <item x="3"/>
        <item x="4"/>
        <item x="5"/>
        <item x="6"/>
        <item x="7"/>
        <item x="8"/>
        <item x="9"/>
        <item x="10"/>
        <item t="default"/>
      </items>
    </pivotField>
    <pivotField showAll="0"/>
    <pivotField showAll="0"/>
    <pivotField showAll="0"/>
    <pivotField showAll="0"/>
    <pivotField showAll="0"/>
    <pivotField showAll="0"/>
    <pivotField showAll="0"/>
    <pivotField dataField="1" showAll="0"/>
    <pivotField showAll="0"/>
    <pivotField numFmtId="9" showAll="0"/>
  </pivotFields>
  <rowFields count="1">
    <field x="2"/>
  </rowFields>
  <rowItems count="11">
    <i>
      <x/>
    </i>
    <i>
      <x v="1"/>
    </i>
    <i>
      <x v="2"/>
    </i>
    <i>
      <x v="3"/>
    </i>
    <i>
      <x v="4"/>
    </i>
    <i>
      <x v="5"/>
    </i>
    <i>
      <x v="6"/>
    </i>
    <i>
      <x v="7"/>
    </i>
    <i>
      <x v="8"/>
    </i>
    <i>
      <x v="9"/>
    </i>
    <i t="grand">
      <x/>
    </i>
  </rowItems>
  <colFields count="1">
    <field x="0"/>
  </colFields>
  <colItems count="6">
    <i>
      <x/>
    </i>
    <i>
      <x v="1"/>
    </i>
    <i>
      <x v="2"/>
    </i>
    <i>
      <x v="3"/>
    </i>
    <i>
      <x v="4"/>
    </i>
    <i t="grand">
      <x/>
    </i>
  </colItems>
  <dataFields count="1">
    <dataField name="Average of AHT" fld="10" subtotal="average" baseField="2" baseItem="0"/>
  </dataFields>
  <formats count="2">
    <format dxfId="1">
      <pivotArea collapsedLevelsAreSubtotals="1" fieldPosition="0">
        <references count="1">
          <reference field="2" count="0"/>
        </references>
      </pivotArea>
    </format>
    <format dxfId="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AE9DDE-17D3-4BA4-A7C3-22DD001DCC93}"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G13" firstHeaderRow="1" firstDataRow="2" firstDataCol="1"/>
  <pivotFields count="10">
    <pivotField axis="axisCol" showAll="0">
      <items count="8">
        <item x="2"/>
        <item x="3"/>
        <item x="4"/>
        <item x="0"/>
        <item x="1"/>
        <item h="1" x="5"/>
        <item h="1" m="1" x="6"/>
        <item t="default"/>
      </items>
    </pivotField>
    <pivotField showAll="0"/>
    <pivotField showAll="0"/>
    <pivotField axis="axisRow" showAll="0">
      <items count="12">
        <item x="0"/>
        <item x="1"/>
        <item x="2"/>
        <item x="3"/>
        <item x="4"/>
        <item x="5"/>
        <item x="6"/>
        <item x="7"/>
        <item x="8"/>
        <item x="9"/>
        <item x="10"/>
        <item t="default"/>
      </items>
    </pivotField>
    <pivotField showAll="0"/>
    <pivotField showAll="0"/>
    <pivotField showAll="0"/>
    <pivotField showAll="0"/>
    <pivotField showAll="0"/>
    <pivotField dataField="1" showAll="0"/>
  </pivotFields>
  <rowFields count="1">
    <field x="3"/>
  </rowFields>
  <rowItems count="11">
    <i>
      <x/>
    </i>
    <i>
      <x v="1"/>
    </i>
    <i>
      <x v="2"/>
    </i>
    <i>
      <x v="3"/>
    </i>
    <i>
      <x v="4"/>
    </i>
    <i>
      <x v="5"/>
    </i>
    <i>
      <x v="6"/>
    </i>
    <i>
      <x v="7"/>
    </i>
    <i>
      <x v="8"/>
    </i>
    <i>
      <x v="9"/>
    </i>
    <i t="grand">
      <x/>
    </i>
  </rowItems>
  <colFields count="1">
    <field x="0"/>
  </colFields>
  <colItems count="6">
    <i>
      <x/>
    </i>
    <i>
      <x v="1"/>
    </i>
    <i>
      <x v="2"/>
    </i>
    <i>
      <x v="3"/>
    </i>
    <i>
      <x v="4"/>
    </i>
    <i t="grand">
      <x/>
    </i>
  </colItems>
  <dataFields count="1">
    <dataField name="Sum of Total Chat Request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704CD-77CC-44A3-BCE6-0C72B64CFBAE}">
  <dimension ref="A1:J22"/>
  <sheetViews>
    <sheetView workbookViewId="0">
      <selection activeCell="F28" sqref="F28"/>
    </sheetView>
  </sheetViews>
  <sheetFormatPr defaultRowHeight="15" x14ac:dyDescent="0.25"/>
  <cols>
    <col min="1" max="1" width="18.7109375" customWidth="1"/>
    <col min="2" max="4" width="21.140625" customWidth="1"/>
    <col min="5" max="10" width="27.5703125" customWidth="1"/>
  </cols>
  <sheetData>
    <row r="1" spans="1:10" x14ac:dyDescent="0.25">
      <c r="A1" t="s">
        <v>387</v>
      </c>
      <c r="B1" t="s">
        <v>388</v>
      </c>
      <c r="C1" t="s">
        <v>392</v>
      </c>
      <c r="D1" t="s">
        <v>389</v>
      </c>
      <c r="E1" s="73" t="s">
        <v>28</v>
      </c>
      <c r="F1" s="73" t="s">
        <v>29</v>
      </c>
      <c r="G1" s="73" t="s">
        <v>30</v>
      </c>
      <c r="H1" s="73" t="s">
        <v>31</v>
      </c>
      <c r="I1" s="73" t="s">
        <v>33</v>
      </c>
      <c r="J1" s="72" t="s">
        <v>34</v>
      </c>
    </row>
    <row r="2" spans="1:10" x14ac:dyDescent="0.25">
      <c r="A2" s="71">
        <v>46334</v>
      </c>
      <c r="B2" s="71">
        <v>46331</v>
      </c>
      <c r="C2" s="71" t="s">
        <v>391</v>
      </c>
      <c r="D2">
        <v>1.2</v>
      </c>
      <c r="E2" s="54">
        <f>'FTE Req'!G64</f>
        <v>451.5</v>
      </c>
      <c r="F2" s="54">
        <f>'FTE Req'!G65</f>
        <v>90.3</v>
      </c>
      <c r="G2" s="54">
        <f>'FTE Req'!G67</f>
        <v>18.059999999999999</v>
      </c>
      <c r="H2" s="70">
        <f>'FTE Req'!G69</f>
        <v>0.1</v>
      </c>
      <c r="I2" s="70">
        <f>'FTE Req'!G71</f>
        <v>0.2</v>
      </c>
      <c r="J2" s="54">
        <f>'FTE Req'!G73</f>
        <v>25.8</v>
      </c>
    </row>
    <row r="3" spans="1:10" x14ac:dyDescent="0.25">
      <c r="A3" s="71">
        <v>46341</v>
      </c>
      <c r="B3" s="71">
        <v>46337</v>
      </c>
      <c r="C3" s="71" t="s">
        <v>391</v>
      </c>
      <c r="D3">
        <v>1.1000000000000001</v>
      </c>
      <c r="E3" s="54">
        <v>391</v>
      </c>
      <c r="F3" s="54">
        <v>95</v>
      </c>
      <c r="G3" s="54">
        <v>16</v>
      </c>
      <c r="H3" s="70">
        <v>0.1</v>
      </c>
      <c r="I3" s="70">
        <v>0.21</v>
      </c>
      <c r="J3" s="54">
        <v>24</v>
      </c>
    </row>
    <row r="4" spans="1:10" x14ac:dyDescent="0.25">
      <c r="A4" s="71">
        <v>46348</v>
      </c>
      <c r="B4" s="71">
        <v>46346</v>
      </c>
      <c r="C4" s="71" t="s">
        <v>391</v>
      </c>
      <c r="D4">
        <v>1.2</v>
      </c>
      <c r="E4" s="54">
        <v>573</v>
      </c>
      <c r="F4" s="54">
        <v>80</v>
      </c>
      <c r="G4" s="54">
        <v>23</v>
      </c>
      <c r="H4" s="70">
        <v>0.13</v>
      </c>
      <c r="I4" s="70">
        <v>0.19</v>
      </c>
      <c r="J4" s="54">
        <v>34</v>
      </c>
    </row>
    <row r="5" spans="1:10" x14ac:dyDescent="0.25">
      <c r="A5" s="71">
        <v>46355</v>
      </c>
      <c r="B5" s="71">
        <v>46351</v>
      </c>
      <c r="C5" s="71" t="s">
        <v>393</v>
      </c>
      <c r="D5">
        <v>2</v>
      </c>
      <c r="E5" s="54">
        <v>393</v>
      </c>
      <c r="F5" s="54">
        <v>80</v>
      </c>
      <c r="G5" s="54">
        <v>16</v>
      </c>
      <c r="H5" s="70">
        <v>0.08</v>
      </c>
      <c r="I5" s="70">
        <v>0.21</v>
      </c>
      <c r="J5" s="54">
        <v>23</v>
      </c>
    </row>
    <row r="6" spans="1:10" x14ac:dyDescent="0.25">
      <c r="A6" s="71">
        <v>46362</v>
      </c>
      <c r="B6" s="71">
        <v>46360</v>
      </c>
      <c r="C6" s="71" t="s">
        <v>393</v>
      </c>
      <c r="D6">
        <v>2.2000000000000002</v>
      </c>
      <c r="E6" s="54">
        <v>539</v>
      </c>
      <c r="F6" s="54">
        <v>80</v>
      </c>
      <c r="G6" s="54">
        <v>22</v>
      </c>
      <c r="H6" s="70">
        <v>0.12</v>
      </c>
      <c r="I6" s="70">
        <v>0.21</v>
      </c>
      <c r="J6" s="54">
        <v>33</v>
      </c>
    </row>
    <row r="7" spans="1:10" x14ac:dyDescent="0.25">
      <c r="A7" s="71">
        <v>46369</v>
      </c>
      <c r="B7" s="71">
        <v>46365</v>
      </c>
      <c r="C7" s="71" t="s">
        <v>393</v>
      </c>
      <c r="D7">
        <v>2.2000000000000002</v>
      </c>
      <c r="E7" s="54">
        <v>492</v>
      </c>
      <c r="F7" s="54">
        <v>85</v>
      </c>
      <c r="G7" s="54">
        <v>20</v>
      </c>
      <c r="H7" s="70">
        <v>0.11</v>
      </c>
      <c r="I7" s="70">
        <v>0.22</v>
      </c>
      <c r="J7" s="54">
        <v>30</v>
      </c>
    </row>
    <row r="8" spans="1:10" x14ac:dyDescent="0.25">
      <c r="A8" s="71">
        <v>46376</v>
      </c>
      <c r="B8" s="71">
        <v>46374</v>
      </c>
      <c r="C8" s="71" t="s">
        <v>393</v>
      </c>
      <c r="D8">
        <v>1.2</v>
      </c>
      <c r="E8" s="54">
        <v>563</v>
      </c>
      <c r="F8" s="54">
        <v>90</v>
      </c>
      <c r="G8" s="54">
        <v>23</v>
      </c>
      <c r="H8" s="70">
        <v>0.1</v>
      </c>
      <c r="I8" s="70">
        <v>0.22</v>
      </c>
      <c r="J8" s="54">
        <v>34</v>
      </c>
    </row>
    <row r="9" spans="1:10" x14ac:dyDescent="0.25">
      <c r="A9" s="71">
        <v>46383</v>
      </c>
      <c r="B9" s="71">
        <v>46381</v>
      </c>
      <c r="C9" s="71" t="s">
        <v>393</v>
      </c>
      <c r="D9">
        <v>1.3</v>
      </c>
      <c r="E9" s="54">
        <v>580</v>
      </c>
      <c r="F9" s="54">
        <v>88</v>
      </c>
      <c r="G9" s="54">
        <v>23</v>
      </c>
      <c r="H9" s="70">
        <v>0.08</v>
      </c>
      <c r="I9" s="70">
        <v>0.19</v>
      </c>
      <c r="J9" s="54">
        <v>32</v>
      </c>
    </row>
    <row r="10" spans="1:10" x14ac:dyDescent="0.25">
      <c r="A10" s="71">
        <v>46025</v>
      </c>
      <c r="B10" s="71">
        <v>46387</v>
      </c>
      <c r="C10" s="71" t="s">
        <v>393</v>
      </c>
      <c r="D10">
        <v>1.1000000000000001</v>
      </c>
      <c r="E10" s="54">
        <v>476</v>
      </c>
      <c r="F10" s="54">
        <v>100</v>
      </c>
      <c r="G10" s="54">
        <v>19</v>
      </c>
      <c r="H10" s="70">
        <v>0.1</v>
      </c>
      <c r="I10" s="70">
        <v>0.22</v>
      </c>
      <c r="J10" s="54">
        <v>28</v>
      </c>
    </row>
    <row r="11" spans="1:10" x14ac:dyDescent="0.25">
      <c r="A11" s="71">
        <v>46032</v>
      </c>
      <c r="B11" s="71">
        <v>46030</v>
      </c>
      <c r="C11" s="71" t="s">
        <v>394</v>
      </c>
      <c r="D11">
        <v>2.1</v>
      </c>
      <c r="E11" s="54">
        <v>522</v>
      </c>
      <c r="F11" s="54">
        <v>80</v>
      </c>
      <c r="G11" s="54">
        <v>21</v>
      </c>
      <c r="H11" s="70">
        <v>0.11</v>
      </c>
      <c r="I11" s="70">
        <v>0.19</v>
      </c>
      <c r="J11" s="54">
        <v>31</v>
      </c>
    </row>
    <row r="12" spans="1:10" x14ac:dyDescent="0.25">
      <c r="A12" s="71">
        <v>46039</v>
      </c>
      <c r="B12" s="71">
        <v>46035</v>
      </c>
      <c r="C12" s="71" t="s">
        <v>394</v>
      </c>
      <c r="D12">
        <v>1.4</v>
      </c>
      <c r="E12" s="54">
        <v>597</v>
      </c>
      <c r="F12" s="54">
        <v>95</v>
      </c>
      <c r="G12" s="54">
        <v>24</v>
      </c>
      <c r="H12" s="70">
        <v>0.12</v>
      </c>
      <c r="I12" s="70">
        <v>0.23</v>
      </c>
      <c r="J12" s="54">
        <v>37</v>
      </c>
    </row>
    <row r="13" spans="1:10" x14ac:dyDescent="0.25">
      <c r="A13" s="71">
        <v>46046</v>
      </c>
      <c r="B13" s="71">
        <v>46042</v>
      </c>
      <c r="C13" s="71" t="s">
        <v>394</v>
      </c>
      <c r="D13">
        <v>1.3</v>
      </c>
      <c r="E13" s="54">
        <v>565</v>
      </c>
      <c r="F13" s="54">
        <v>80</v>
      </c>
      <c r="G13" s="54">
        <v>23</v>
      </c>
      <c r="H13" s="70">
        <v>0.08</v>
      </c>
      <c r="I13" s="70">
        <v>0.21</v>
      </c>
      <c r="J13" s="54">
        <v>33</v>
      </c>
    </row>
    <row r="14" spans="1:10" x14ac:dyDescent="0.25">
      <c r="A14" s="71">
        <v>46053</v>
      </c>
      <c r="B14" s="71">
        <v>46050</v>
      </c>
      <c r="C14" s="71" t="s">
        <v>394</v>
      </c>
      <c r="D14">
        <v>1.1000000000000001</v>
      </c>
      <c r="E14" s="54">
        <v>603</v>
      </c>
      <c r="F14" s="54">
        <v>85</v>
      </c>
      <c r="G14" s="54">
        <v>24</v>
      </c>
      <c r="H14" s="70">
        <v>0.14000000000000001</v>
      </c>
      <c r="I14" s="70">
        <v>0.19</v>
      </c>
      <c r="J14" s="54">
        <v>36</v>
      </c>
    </row>
    <row r="15" spans="1:10" x14ac:dyDescent="0.25">
      <c r="A15" s="71">
        <v>46060</v>
      </c>
      <c r="B15" s="71">
        <v>46057</v>
      </c>
      <c r="C15" s="71" t="s">
        <v>395</v>
      </c>
      <c r="D15">
        <v>1.4</v>
      </c>
      <c r="E15" s="54">
        <v>501</v>
      </c>
      <c r="F15" s="54">
        <v>95</v>
      </c>
      <c r="G15" s="54">
        <v>20</v>
      </c>
      <c r="H15" s="70">
        <v>0.14000000000000001</v>
      </c>
      <c r="I15" s="70">
        <v>0.23</v>
      </c>
      <c r="J15" s="54">
        <v>32</v>
      </c>
    </row>
    <row r="16" spans="1:10" x14ac:dyDescent="0.25">
      <c r="A16" s="71">
        <v>46067</v>
      </c>
      <c r="B16" s="71">
        <v>46065</v>
      </c>
      <c r="C16" s="71" t="s">
        <v>395</v>
      </c>
      <c r="D16">
        <v>1.5</v>
      </c>
      <c r="E16" s="54">
        <v>475</v>
      </c>
      <c r="F16" s="54">
        <v>85</v>
      </c>
      <c r="G16" s="54">
        <v>19</v>
      </c>
      <c r="H16" s="70">
        <v>0.13</v>
      </c>
      <c r="I16" s="70">
        <v>0.22</v>
      </c>
      <c r="J16" s="54">
        <v>30</v>
      </c>
    </row>
    <row r="17" spans="1:10" x14ac:dyDescent="0.25">
      <c r="A17" s="71">
        <v>46074</v>
      </c>
      <c r="B17" s="71">
        <v>46070</v>
      </c>
      <c r="C17" s="71" t="s">
        <v>395</v>
      </c>
      <c r="D17">
        <v>1.1000000000000001</v>
      </c>
      <c r="E17" s="54">
        <v>540</v>
      </c>
      <c r="F17" s="54">
        <v>95</v>
      </c>
      <c r="G17" s="54">
        <v>22</v>
      </c>
      <c r="H17" s="70">
        <v>0.09</v>
      </c>
      <c r="I17" s="70">
        <v>0.21</v>
      </c>
      <c r="J17" s="54">
        <v>32</v>
      </c>
    </row>
    <row r="18" spans="1:10" x14ac:dyDescent="0.25">
      <c r="A18" s="71">
        <v>46081</v>
      </c>
      <c r="B18" s="71">
        <v>46079</v>
      </c>
      <c r="C18" s="71" t="s">
        <v>395</v>
      </c>
      <c r="D18">
        <v>2.1</v>
      </c>
      <c r="E18" s="54">
        <v>482</v>
      </c>
      <c r="F18" s="54">
        <v>88</v>
      </c>
      <c r="G18" s="54">
        <v>19</v>
      </c>
      <c r="H18" s="70">
        <v>0.13</v>
      </c>
      <c r="I18" s="70">
        <v>0.21</v>
      </c>
      <c r="J18" s="54">
        <v>29</v>
      </c>
    </row>
    <row r="19" spans="1:10" x14ac:dyDescent="0.25">
      <c r="A19" s="71">
        <v>46088</v>
      </c>
      <c r="B19" s="71">
        <v>46084</v>
      </c>
      <c r="C19" s="71" t="s">
        <v>396</v>
      </c>
      <c r="D19">
        <v>1.5</v>
      </c>
      <c r="E19" s="54">
        <v>600</v>
      </c>
      <c r="F19" s="54">
        <v>100</v>
      </c>
      <c r="G19" s="54">
        <v>24</v>
      </c>
      <c r="H19" s="70">
        <v>0.14000000000000001</v>
      </c>
      <c r="I19" s="70">
        <v>0.18</v>
      </c>
      <c r="J19" s="54">
        <v>36</v>
      </c>
    </row>
    <row r="20" spans="1:10" x14ac:dyDescent="0.25">
      <c r="A20" s="71">
        <v>46095</v>
      </c>
      <c r="B20" s="71">
        <v>46093</v>
      </c>
      <c r="C20" s="71" t="s">
        <v>396</v>
      </c>
      <c r="D20">
        <v>1</v>
      </c>
      <c r="E20" s="54">
        <v>591</v>
      </c>
      <c r="F20" s="54">
        <v>88</v>
      </c>
      <c r="G20" s="54">
        <v>24</v>
      </c>
      <c r="H20" s="70">
        <v>0.11</v>
      </c>
      <c r="I20" s="70">
        <v>0.22</v>
      </c>
      <c r="J20" s="54">
        <v>36</v>
      </c>
    </row>
    <row r="21" spans="1:10" x14ac:dyDescent="0.25">
      <c r="A21" s="71">
        <v>46102</v>
      </c>
      <c r="B21" s="71">
        <v>46100</v>
      </c>
      <c r="C21" s="71" t="s">
        <v>396</v>
      </c>
      <c r="D21">
        <v>1.3</v>
      </c>
      <c r="E21" s="54">
        <v>618</v>
      </c>
      <c r="F21" s="54">
        <v>92</v>
      </c>
      <c r="G21" s="54">
        <v>25</v>
      </c>
      <c r="H21" s="70">
        <v>0.13</v>
      </c>
      <c r="I21" s="70">
        <v>0.23</v>
      </c>
      <c r="J21" s="54">
        <v>40</v>
      </c>
    </row>
    <row r="22" spans="1:10" x14ac:dyDescent="0.25">
      <c r="A22" s="71">
        <v>46109</v>
      </c>
      <c r="B22" s="71">
        <v>46107</v>
      </c>
      <c r="C22" s="71" t="s">
        <v>396</v>
      </c>
      <c r="D22">
        <v>2.1</v>
      </c>
      <c r="E22" s="54">
        <v>486</v>
      </c>
      <c r="F22" s="54">
        <v>95</v>
      </c>
      <c r="G22" s="54">
        <v>19</v>
      </c>
      <c r="H22" s="70">
        <v>0.11</v>
      </c>
      <c r="I22" s="70">
        <v>0.2</v>
      </c>
      <c r="J22" s="54">
        <v>28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BC73"/>
  <sheetViews>
    <sheetView tabSelected="1" zoomScale="80" zoomScaleNormal="80" workbookViewId="0">
      <selection activeCell="O75" sqref="O75"/>
    </sheetView>
  </sheetViews>
  <sheetFormatPr defaultColWidth="9.140625" defaultRowHeight="12.75" x14ac:dyDescent="0.2"/>
  <cols>
    <col min="1" max="1" width="5" style="2" customWidth="1"/>
    <col min="2" max="2" width="5.42578125" style="2" customWidth="1"/>
    <col min="3" max="3" width="15.85546875" style="2" bestFit="1" customWidth="1"/>
    <col min="4" max="4" width="9.5703125" style="2" customWidth="1"/>
    <col min="5" max="5" width="10.28515625" style="2" customWidth="1"/>
    <col min="6" max="36" width="9.140625" style="2"/>
    <col min="37" max="44" width="9.140625" style="2" customWidth="1"/>
    <col min="45" max="46" width="9.140625" style="2"/>
    <col min="47" max="58" width="9.140625" style="2" customWidth="1"/>
    <col min="59" max="16384" width="9.140625" style="2"/>
  </cols>
  <sheetData>
    <row r="1" spans="3:55" ht="13.5" thickBot="1" x14ac:dyDescent="0.25"/>
    <row r="2" spans="3:55" ht="12.75" customHeight="1" x14ac:dyDescent="0.2">
      <c r="C2" s="2" t="s">
        <v>0</v>
      </c>
      <c r="D2" s="94" t="s">
        <v>1</v>
      </c>
      <c r="E2" s="95"/>
      <c r="J2" s="91" t="s">
        <v>203</v>
      </c>
      <c r="K2" s="91"/>
      <c r="L2" s="91"/>
      <c r="M2" s="91"/>
      <c r="N2" s="91"/>
      <c r="U2" s="92" t="s">
        <v>3</v>
      </c>
      <c r="V2" s="92"/>
      <c r="W2" s="92"/>
      <c r="X2" s="92"/>
      <c r="Y2" s="92"/>
      <c r="Z2" s="92"/>
      <c r="AV2" s="29"/>
      <c r="AW2" s="30"/>
      <c r="AX2" s="30"/>
      <c r="AY2" s="30"/>
      <c r="AZ2" s="30"/>
      <c r="BA2" s="30"/>
      <c r="BB2" s="30"/>
      <c r="BC2" s="31"/>
    </row>
    <row r="3" spans="3:55" x14ac:dyDescent="0.2">
      <c r="J3" s="91"/>
      <c r="K3" s="91"/>
      <c r="L3" s="91"/>
      <c r="M3" s="91"/>
      <c r="N3" s="91"/>
      <c r="U3" s="92"/>
      <c r="V3" s="92"/>
      <c r="W3" s="92"/>
      <c r="X3" s="92"/>
      <c r="Y3" s="92"/>
      <c r="Z3" s="92"/>
      <c r="AC3" s="88" t="s">
        <v>4</v>
      </c>
      <c r="AD3" s="89"/>
      <c r="AE3" s="22">
        <f>'Volume Summary'!J34</f>
        <v>1226.25</v>
      </c>
      <c r="AF3" s="46"/>
      <c r="AV3" s="32"/>
      <c r="AW3" s="85" t="s">
        <v>5</v>
      </c>
      <c r="AX3" s="85"/>
      <c r="AY3" s="85"/>
      <c r="AZ3" s="85"/>
      <c r="BA3" s="85"/>
      <c r="BB3" s="85"/>
      <c r="BC3" s="33"/>
    </row>
    <row r="4" spans="3:55" ht="15.75" customHeight="1" x14ac:dyDescent="0.2">
      <c r="C4" s="2" t="s">
        <v>6</v>
      </c>
      <c r="D4" s="23">
        <v>0.8</v>
      </c>
      <c r="H4" s="77" t="s">
        <v>7</v>
      </c>
      <c r="I4" s="77"/>
      <c r="J4" s="77"/>
      <c r="K4" s="77"/>
      <c r="L4" s="77"/>
      <c r="M4" s="77"/>
      <c r="N4" s="77"/>
      <c r="O4" s="77"/>
      <c r="P4" s="77"/>
      <c r="Q4" s="77"/>
      <c r="U4" s="92"/>
      <c r="V4" s="92"/>
      <c r="W4" s="92"/>
      <c r="X4" s="92"/>
      <c r="Y4" s="92"/>
      <c r="Z4" s="92"/>
      <c r="AV4" s="32"/>
      <c r="AW4" s="85"/>
      <c r="AX4" s="85"/>
      <c r="AY4" s="85"/>
      <c r="AZ4" s="85"/>
      <c r="BA4" s="85"/>
      <c r="BB4" s="85"/>
      <c r="BC4" s="33"/>
    </row>
    <row r="5" spans="3:55" x14ac:dyDescent="0.2">
      <c r="C5" s="2" t="s">
        <v>8</v>
      </c>
      <c r="D5" s="22">
        <v>20</v>
      </c>
      <c r="U5" s="92"/>
      <c r="V5" s="92"/>
      <c r="W5" s="92"/>
      <c r="X5" s="92"/>
      <c r="Y5" s="92"/>
      <c r="Z5" s="92"/>
      <c r="AC5" s="90" t="s">
        <v>9</v>
      </c>
      <c r="AD5" s="90"/>
      <c r="AE5" s="90"/>
      <c r="AF5" s="90"/>
      <c r="AG5" s="90"/>
      <c r="AH5" s="90"/>
      <c r="AI5" s="90"/>
      <c r="AV5" s="32"/>
      <c r="AW5" s="86" t="s">
        <v>10</v>
      </c>
      <c r="AX5" s="86"/>
      <c r="AY5" s="86"/>
      <c r="AZ5" s="86"/>
      <c r="BA5" s="86"/>
      <c r="BB5" s="86"/>
      <c r="BC5" s="87"/>
    </row>
    <row r="6" spans="3:55" ht="15" x14ac:dyDescent="0.25">
      <c r="U6" s="92"/>
      <c r="V6" s="92"/>
      <c r="W6" s="92"/>
      <c r="X6" s="92"/>
      <c r="Y6" s="92"/>
      <c r="Z6" s="92"/>
      <c r="AC6" t="s">
        <v>11</v>
      </c>
      <c r="AD6" t="s">
        <v>12</v>
      </c>
      <c r="AE6" t="s">
        <v>13</v>
      </c>
      <c r="AF6" t="s">
        <v>14</v>
      </c>
      <c r="AG6" t="s">
        <v>15</v>
      </c>
      <c r="AH6" t="s">
        <v>16</v>
      </c>
      <c r="AI6" t="s">
        <v>17</v>
      </c>
      <c r="AV6" s="32"/>
      <c r="AW6" s="40" t="s">
        <v>11</v>
      </c>
      <c r="AX6" s="40" t="s">
        <v>12</v>
      </c>
      <c r="AY6" s="40" t="s">
        <v>13</v>
      </c>
      <c r="AZ6" s="40" t="s">
        <v>14</v>
      </c>
      <c r="BA6" s="40" t="s">
        <v>15</v>
      </c>
      <c r="BB6" s="40" t="s">
        <v>16</v>
      </c>
      <c r="BC6" s="41" t="s">
        <v>17</v>
      </c>
    </row>
    <row r="7" spans="3:55" x14ac:dyDescent="0.2">
      <c r="C7" s="2" t="s">
        <v>18</v>
      </c>
      <c r="D7" s="22"/>
      <c r="E7" s="96" t="s">
        <v>19</v>
      </c>
      <c r="F7" s="93"/>
      <c r="G7" s="93"/>
      <c r="H7" s="93"/>
      <c r="I7" s="93"/>
      <c r="J7" s="93"/>
      <c r="K7" s="93"/>
      <c r="L7" s="93"/>
      <c r="M7" s="93"/>
      <c r="N7" s="93"/>
      <c r="O7" s="93"/>
      <c r="P7" s="93"/>
      <c r="Q7" s="93"/>
      <c r="R7" s="93"/>
      <c r="AB7" s="2" t="s">
        <v>20</v>
      </c>
      <c r="AC7" s="23"/>
      <c r="AD7" s="23">
        <v>0.16483516483516483</v>
      </c>
      <c r="AE7" s="23">
        <v>0.19248493442041828</v>
      </c>
      <c r="AF7" s="23">
        <v>0.18220489188231123</v>
      </c>
      <c r="AG7" s="23">
        <v>0.24158099964551577</v>
      </c>
      <c r="AH7" s="23">
        <v>0.21889400921658986</v>
      </c>
      <c r="AI7" s="23">
        <v>0</v>
      </c>
      <c r="AJ7" s="27">
        <f>SUM(AC7:AI7)</f>
        <v>1</v>
      </c>
      <c r="AV7" s="32"/>
      <c r="AW7" s="38">
        <f t="shared" ref="AW7:BC7" si="0">($AE$3*AC7)</f>
        <v>0</v>
      </c>
      <c r="AX7" s="38">
        <f t="shared" si="0"/>
        <v>202.12912087912088</v>
      </c>
      <c r="AY7" s="38">
        <f t="shared" si="0"/>
        <v>236.03465083303792</v>
      </c>
      <c r="AZ7" s="38">
        <f t="shared" si="0"/>
        <v>223.42874867068414</v>
      </c>
      <c r="BA7" s="38">
        <f t="shared" si="0"/>
        <v>296.23870081531373</v>
      </c>
      <c r="BB7" s="38">
        <f t="shared" si="0"/>
        <v>268.4187788018433</v>
      </c>
      <c r="BC7" s="39">
        <f t="shared" si="0"/>
        <v>0</v>
      </c>
    </row>
    <row r="8" spans="3:55" ht="13.5" thickBot="1" x14ac:dyDescent="0.25">
      <c r="AV8" s="32"/>
      <c r="AW8" s="36"/>
      <c r="AX8" s="36"/>
      <c r="AY8" s="36"/>
      <c r="AZ8" s="36"/>
      <c r="BA8" s="36"/>
      <c r="BB8" s="36"/>
      <c r="BC8" s="33"/>
    </row>
    <row r="9" spans="3:55" x14ac:dyDescent="0.2">
      <c r="D9" s="14"/>
      <c r="E9" s="74" t="s">
        <v>11</v>
      </c>
      <c r="F9" s="75"/>
      <c r="G9" s="76"/>
      <c r="H9" s="74" t="s">
        <v>12</v>
      </c>
      <c r="I9" s="75"/>
      <c r="J9" s="76"/>
      <c r="K9" s="74" t="s">
        <v>13</v>
      </c>
      <c r="L9" s="75"/>
      <c r="M9" s="76"/>
      <c r="N9" s="74" t="s">
        <v>14</v>
      </c>
      <c r="O9" s="75"/>
      <c r="P9" s="76"/>
      <c r="Q9" s="74" t="s">
        <v>15</v>
      </c>
      <c r="R9" s="75"/>
      <c r="S9" s="76"/>
      <c r="T9" s="74" t="s">
        <v>16</v>
      </c>
      <c r="U9" s="75"/>
      <c r="V9" s="76"/>
      <c r="W9" s="74" t="s">
        <v>17</v>
      </c>
      <c r="X9" s="75"/>
      <c r="Y9" s="76"/>
      <c r="AL9" s="80" t="s">
        <v>21</v>
      </c>
      <c r="AM9" s="81"/>
      <c r="AN9" s="81"/>
      <c r="AO9" s="81"/>
      <c r="AP9" s="81"/>
      <c r="AQ9" s="81"/>
      <c r="AR9" s="82"/>
      <c r="AV9" s="32"/>
      <c r="AW9" s="36"/>
      <c r="AX9" s="36"/>
      <c r="AY9" s="36"/>
      <c r="AZ9" s="36"/>
      <c r="BA9" s="36"/>
      <c r="BB9" s="36"/>
      <c r="BC9" s="33"/>
    </row>
    <row r="10" spans="3:55" ht="15" x14ac:dyDescent="0.25">
      <c r="D10" s="15"/>
      <c r="E10" s="12" t="s">
        <v>22</v>
      </c>
      <c r="F10" s="3" t="s">
        <v>23</v>
      </c>
      <c r="G10" s="13" t="s">
        <v>24</v>
      </c>
      <c r="H10" s="12" t="s">
        <v>22</v>
      </c>
      <c r="I10" s="3" t="s">
        <v>23</v>
      </c>
      <c r="J10" s="13" t="s">
        <v>24</v>
      </c>
      <c r="K10" s="12" t="s">
        <v>22</v>
      </c>
      <c r="L10" s="3" t="s">
        <v>23</v>
      </c>
      <c r="M10" s="13" t="s">
        <v>24</v>
      </c>
      <c r="N10" s="12" t="s">
        <v>22</v>
      </c>
      <c r="O10" s="3" t="s">
        <v>23</v>
      </c>
      <c r="P10" s="13" t="s">
        <v>24</v>
      </c>
      <c r="Q10" s="12" t="s">
        <v>22</v>
      </c>
      <c r="R10" s="3" t="s">
        <v>23</v>
      </c>
      <c r="S10" s="13" t="s">
        <v>24</v>
      </c>
      <c r="T10" s="12" t="s">
        <v>22</v>
      </c>
      <c r="U10" s="3" t="s">
        <v>23</v>
      </c>
      <c r="V10" s="13" t="s">
        <v>24</v>
      </c>
      <c r="W10" s="12" t="s">
        <v>22</v>
      </c>
      <c r="X10" s="3" t="s">
        <v>23</v>
      </c>
      <c r="Y10" s="13" t="s">
        <v>24</v>
      </c>
      <c r="AC10" s="90" t="s">
        <v>25</v>
      </c>
      <c r="AD10" s="90"/>
      <c r="AE10" s="90"/>
      <c r="AF10" s="90"/>
      <c r="AG10" s="90"/>
      <c r="AH10" s="90"/>
      <c r="AI10" s="90"/>
      <c r="AL10" s="48" t="s">
        <v>11</v>
      </c>
      <c r="AM10" s="49" t="s">
        <v>12</v>
      </c>
      <c r="AN10" s="49" t="s">
        <v>13</v>
      </c>
      <c r="AO10" s="49" t="s">
        <v>14</v>
      </c>
      <c r="AP10" s="49" t="s">
        <v>15</v>
      </c>
      <c r="AQ10" s="49" t="s">
        <v>16</v>
      </c>
      <c r="AR10" s="50" t="s">
        <v>17</v>
      </c>
      <c r="AV10" s="32"/>
      <c r="AW10" s="36"/>
      <c r="AX10" s="36"/>
      <c r="AY10" s="36"/>
      <c r="AZ10" s="36"/>
      <c r="BA10" s="36"/>
      <c r="BB10" s="36"/>
      <c r="BC10" s="33"/>
    </row>
    <row r="11" spans="3:55" hidden="1" x14ac:dyDescent="0.2">
      <c r="D11" s="16">
        <v>0</v>
      </c>
      <c r="E11" s="26" t="str">
        <f t="shared" ref="E11:E58" si="1">AW11</f>
        <v/>
      </c>
      <c r="F11" s="26" t="str">
        <f t="shared" ref="F11:F58" si="2">IF(ISNUMBER($D$7),IF(ISNUMBER(E11),$D$7,""),IF(ISNUMBER(AL11),AL11,""))</f>
        <v/>
      </c>
      <c r="G11" s="45" t="str">
        <f>IFERROR(AgentsHalfHour($D$4,$D$5,E11,F11),"")</f>
        <v/>
      </c>
      <c r="H11" s="26" t="str">
        <f t="shared" ref="H11:H58" si="3">AX11</f>
        <v/>
      </c>
      <c r="I11" s="26" t="str">
        <f t="shared" ref="I11:I58" si="4">IF(ISNUMBER($D$7),IF(ISNUMBER(H11),$D$7,""),IF(ISNUMBER(AM11),AM11,""))</f>
        <v/>
      </c>
      <c r="J11" s="45" t="str">
        <f>IFERROR(AgentsHalfHour($D$4,$D$5,H11,I11),"")</f>
        <v/>
      </c>
      <c r="K11" s="26" t="str">
        <f t="shared" ref="K11:K58" si="5">AY11</f>
        <v/>
      </c>
      <c r="L11" s="26" t="str">
        <f t="shared" ref="L11:L58" si="6">IF(ISNUMBER($D$7),IF(ISNUMBER(K11),$D$7,""),IF(ISNUMBER(AN11),AN11,""))</f>
        <v/>
      </c>
      <c r="M11" s="45" t="str">
        <f>IFERROR(AgentsHalfHour($D$4,$D$5,K11,L11),"")</f>
        <v/>
      </c>
      <c r="N11" s="26" t="str">
        <f t="shared" ref="N11:N58" si="7">AZ11</f>
        <v/>
      </c>
      <c r="O11" s="26" t="str">
        <f t="shared" ref="O11:O58" si="8">IF(ISNUMBER($D$7),IF(ISNUMBER(N11),$D$7,""),IF(ISNUMBER(AO11),AO11,""))</f>
        <v/>
      </c>
      <c r="P11" s="45" t="str">
        <f>IFERROR(AgentsHalfHour($D$4,$D$5,N11,O11),"")</f>
        <v/>
      </c>
      <c r="Q11" s="26" t="str">
        <f t="shared" ref="Q11:Q58" si="9">BA11</f>
        <v/>
      </c>
      <c r="R11" s="26" t="str">
        <f t="shared" ref="R11:R58" si="10">IF(ISNUMBER($D$7),IF(ISNUMBER(Q11),$D$7,""),IF(ISNUMBER(AP11),AP11,""))</f>
        <v/>
      </c>
      <c r="S11" s="45" t="str">
        <f>IFERROR(AgentsHalfHour($D$4,$D$5,Q11,R11),"")</f>
        <v/>
      </c>
      <c r="T11" s="26" t="str">
        <f t="shared" ref="T11:T58" si="11">BB11</f>
        <v/>
      </c>
      <c r="U11" s="26" t="str">
        <f t="shared" ref="U11:U58" si="12">IF(ISNUMBER($D$7),IF(ISNUMBER(T11),$D$7,""),IF(ISNUMBER(AQ11),AQ11,""))</f>
        <v/>
      </c>
      <c r="V11" s="45" t="str">
        <f>IFERROR(AgentsHalfHour($D$4,$D$5,T11,U11),"")</f>
        <v/>
      </c>
      <c r="W11" s="26" t="str">
        <f t="shared" ref="W11:W58" si="13">BC11</f>
        <v/>
      </c>
      <c r="X11" s="26" t="str">
        <f t="shared" ref="X11:X58" si="14">IF(ISNUMBER($D$7),IF(ISNUMBER(W11),$D$7,""),IF(ISNUMBER(AR11),AR11,""))</f>
        <v/>
      </c>
      <c r="Y11" s="13" t="str">
        <f>IFERROR(AgentsHalfHour($D$4,$D$5,W11,X11),"")</f>
        <v/>
      </c>
      <c r="AB11" s="16">
        <v>0</v>
      </c>
      <c r="AC11" s="28"/>
      <c r="AD11" s="28"/>
      <c r="AE11" s="28"/>
      <c r="AF11" s="28"/>
      <c r="AG11" s="28"/>
      <c r="AH11" s="28"/>
      <c r="AI11" s="28"/>
      <c r="AK11" s="16">
        <v>0</v>
      </c>
      <c r="AL11" s="47"/>
      <c r="AM11" s="47"/>
      <c r="AN11" s="47"/>
      <c r="AO11" s="47"/>
      <c r="AP11" s="47"/>
      <c r="AQ11" s="47"/>
      <c r="AR11" s="47"/>
      <c r="AV11" s="37">
        <v>0</v>
      </c>
      <c r="AW11" s="34" t="str">
        <f t="shared" ref="AW11:AW58" si="15">IF(AW$7*AC11 = 0,"",AW$7*AC11)</f>
        <v/>
      </c>
      <c r="AX11" s="34" t="str">
        <f t="shared" ref="AX11:AX58" si="16">IF(AX$7*AD11 = 0,"",AX$7*AD11)</f>
        <v/>
      </c>
      <c r="AY11" s="34" t="str">
        <f t="shared" ref="AY11:AY58" si="17">IF(AY$7*AE11 = 0,"",AY$7*AE11)</f>
        <v/>
      </c>
      <c r="AZ11" s="34" t="str">
        <f t="shared" ref="AZ11:AZ58" si="18">IF(AZ$7*AF11 = 0,"",AZ$7*AF11)</f>
        <v/>
      </c>
      <c r="BA11" s="34" t="str">
        <f t="shared" ref="BA11:BA58" si="19">IF(BA$7*AG11 = 0,"",BA$7*AG11)</f>
        <v/>
      </c>
      <c r="BB11" s="34" t="str">
        <f t="shared" ref="BB11:BB58" si="20">IF(BB$7*AH11 = 0,"",BB$7*AH11)</f>
        <v/>
      </c>
      <c r="BC11" s="35" t="str">
        <f t="shared" ref="BC11:BC58" si="21">IF(BC$7*AI11 = 0,"",BC$7*AI11)</f>
        <v/>
      </c>
    </row>
    <row r="12" spans="3:55" hidden="1" x14ac:dyDescent="0.2">
      <c r="D12" s="17">
        <v>2.0833333333333332E-2</v>
      </c>
      <c r="E12" s="26" t="str">
        <f t="shared" si="1"/>
        <v/>
      </c>
      <c r="F12" s="26" t="str">
        <f t="shared" si="2"/>
        <v/>
      </c>
      <c r="G12" s="45" t="str">
        <f t="shared" ref="G12:G58" si="22">IFERROR(AgentsHalfHour($D$4,$D$5,E12,F12),"")</f>
        <v/>
      </c>
      <c r="H12" s="26" t="str">
        <f t="shared" si="3"/>
        <v/>
      </c>
      <c r="I12" s="26" t="str">
        <f t="shared" si="4"/>
        <v/>
      </c>
      <c r="J12" s="45" t="str">
        <f t="shared" ref="J12:J58" si="23">IFERROR(AgentsHalfHour($D$4,$D$5,H12,I12),"")</f>
        <v/>
      </c>
      <c r="K12" s="26" t="str">
        <f t="shared" si="5"/>
        <v/>
      </c>
      <c r="L12" s="26" t="str">
        <f t="shared" si="6"/>
        <v/>
      </c>
      <c r="M12" s="45" t="str">
        <f t="shared" ref="M12:M58" si="24">IFERROR(AgentsHalfHour($D$4,$D$5,K12,L12),"")</f>
        <v/>
      </c>
      <c r="N12" s="26" t="str">
        <f t="shared" si="7"/>
        <v/>
      </c>
      <c r="O12" s="26" t="str">
        <f t="shared" si="8"/>
        <v/>
      </c>
      <c r="P12" s="45" t="str">
        <f t="shared" ref="P12:P58" si="25">IFERROR(AgentsHalfHour($D$4,$D$5,N12,O12),"")</f>
        <v/>
      </c>
      <c r="Q12" s="26" t="str">
        <f t="shared" si="9"/>
        <v/>
      </c>
      <c r="R12" s="26" t="str">
        <f t="shared" si="10"/>
        <v/>
      </c>
      <c r="S12" s="45" t="str">
        <f t="shared" ref="S12:S58" si="26">IFERROR(AgentsHalfHour($D$4,$D$5,Q12,R12),"")</f>
        <v/>
      </c>
      <c r="T12" s="26" t="str">
        <f t="shared" si="11"/>
        <v/>
      </c>
      <c r="U12" s="26" t="str">
        <f t="shared" si="12"/>
        <v/>
      </c>
      <c r="V12" s="45" t="str">
        <f t="shared" ref="V12:V58" si="27">IFERROR(AgentsHalfHour($D$4,$D$5,T12,U12),"")</f>
        <v/>
      </c>
      <c r="W12" s="26" t="str">
        <f t="shared" si="13"/>
        <v/>
      </c>
      <c r="X12" s="26" t="str">
        <f t="shared" si="14"/>
        <v/>
      </c>
      <c r="Y12" s="13" t="str">
        <f t="shared" ref="Y12:Y58" si="28">IFERROR(AgentsHalfHour($D$4,$D$5,W12,X12),"")</f>
        <v/>
      </c>
      <c r="AB12" s="17">
        <v>2.0833333333333332E-2</v>
      </c>
      <c r="AC12" s="28"/>
      <c r="AD12" s="28"/>
      <c r="AE12" s="28"/>
      <c r="AF12" s="28"/>
      <c r="AG12" s="28"/>
      <c r="AH12" s="28"/>
      <c r="AI12" s="28"/>
      <c r="AK12" s="17">
        <v>2.0833333333333332E-2</v>
      </c>
      <c r="AL12" s="47"/>
      <c r="AM12" s="47"/>
      <c r="AN12" s="47"/>
      <c r="AO12" s="47"/>
      <c r="AP12" s="47"/>
      <c r="AQ12" s="47"/>
      <c r="AR12" s="47"/>
      <c r="AV12" s="37">
        <v>2.0833333333333332E-2</v>
      </c>
      <c r="AW12" s="34" t="str">
        <f t="shared" si="15"/>
        <v/>
      </c>
      <c r="AX12" s="34" t="str">
        <f t="shared" si="16"/>
        <v/>
      </c>
      <c r="AY12" s="34" t="str">
        <f t="shared" si="17"/>
        <v/>
      </c>
      <c r="AZ12" s="34" t="str">
        <f t="shared" si="18"/>
        <v/>
      </c>
      <c r="BA12" s="34" t="str">
        <f t="shared" si="19"/>
        <v/>
      </c>
      <c r="BB12" s="34" t="str">
        <f t="shared" si="20"/>
        <v/>
      </c>
      <c r="BC12" s="35" t="str">
        <f t="shared" si="21"/>
        <v/>
      </c>
    </row>
    <row r="13" spans="3:55" hidden="1" x14ac:dyDescent="0.2">
      <c r="D13" s="17">
        <v>4.1666666666666664E-2</v>
      </c>
      <c r="E13" s="26" t="str">
        <f t="shared" si="1"/>
        <v/>
      </c>
      <c r="F13" s="26" t="str">
        <f t="shared" si="2"/>
        <v/>
      </c>
      <c r="G13" s="45" t="str">
        <f t="shared" si="22"/>
        <v/>
      </c>
      <c r="H13" s="26" t="str">
        <f t="shared" si="3"/>
        <v/>
      </c>
      <c r="I13" s="26" t="str">
        <f t="shared" si="4"/>
        <v/>
      </c>
      <c r="J13" s="45" t="str">
        <f t="shared" si="23"/>
        <v/>
      </c>
      <c r="K13" s="26" t="str">
        <f t="shared" si="5"/>
        <v/>
      </c>
      <c r="L13" s="26" t="str">
        <f t="shared" si="6"/>
        <v/>
      </c>
      <c r="M13" s="45" t="str">
        <f t="shared" si="24"/>
        <v/>
      </c>
      <c r="N13" s="26" t="str">
        <f t="shared" si="7"/>
        <v/>
      </c>
      <c r="O13" s="26" t="str">
        <f t="shared" si="8"/>
        <v/>
      </c>
      <c r="P13" s="45" t="str">
        <f t="shared" si="25"/>
        <v/>
      </c>
      <c r="Q13" s="26" t="str">
        <f t="shared" si="9"/>
        <v/>
      </c>
      <c r="R13" s="26" t="str">
        <f t="shared" si="10"/>
        <v/>
      </c>
      <c r="S13" s="45" t="str">
        <f t="shared" si="26"/>
        <v/>
      </c>
      <c r="T13" s="26" t="str">
        <f t="shared" si="11"/>
        <v/>
      </c>
      <c r="U13" s="26" t="str">
        <f t="shared" si="12"/>
        <v/>
      </c>
      <c r="V13" s="45" t="str">
        <f t="shared" si="27"/>
        <v/>
      </c>
      <c r="W13" s="26" t="str">
        <f t="shared" si="13"/>
        <v/>
      </c>
      <c r="X13" s="26" t="str">
        <f t="shared" si="14"/>
        <v/>
      </c>
      <c r="Y13" s="13" t="str">
        <f t="shared" si="28"/>
        <v/>
      </c>
      <c r="AB13" s="17">
        <v>4.1666666666666664E-2</v>
      </c>
      <c r="AC13" s="28"/>
      <c r="AD13" s="28"/>
      <c r="AE13" s="28"/>
      <c r="AF13" s="28"/>
      <c r="AG13" s="28"/>
      <c r="AH13" s="28"/>
      <c r="AI13" s="28"/>
      <c r="AK13" s="17">
        <v>4.1666666666666664E-2</v>
      </c>
      <c r="AL13" s="47"/>
      <c r="AM13" s="47"/>
      <c r="AN13" s="47"/>
      <c r="AO13" s="47"/>
      <c r="AP13" s="47"/>
      <c r="AQ13" s="47"/>
      <c r="AR13" s="47"/>
      <c r="AV13" s="37">
        <v>4.1666666666666664E-2</v>
      </c>
      <c r="AW13" s="34" t="str">
        <f t="shared" si="15"/>
        <v/>
      </c>
      <c r="AX13" s="34" t="str">
        <f t="shared" si="16"/>
        <v/>
      </c>
      <c r="AY13" s="34" t="str">
        <f t="shared" si="17"/>
        <v/>
      </c>
      <c r="AZ13" s="34" t="str">
        <f t="shared" si="18"/>
        <v/>
      </c>
      <c r="BA13" s="34" t="str">
        <f t="shared" si="19"/>
        <v/>
      </c>
      <c r="BB13" s="34" t="str">
        <f t="shared" si="20"/>
        <v/>
      </c>
      <c r="BC13" s="35" t="str">
        <f t="shared" si="21"/>
        <v/>
      </c>
    </row>
    <row r="14" spans="3:55" hidden="1" x14ac:dyDescent="0.2">
      <c r="D14" s="17">
        <v>6.25E-2</v>
      </c>
      <c r="E14" s="26" t="str">
        <f t="shared" si="1"/>
        <v/>
      </c>
      <c r="F14" s="26" t="str">
        <f t="shared" si="2"/>
        <v/>
      </c>
      <c r="G14" s="45" t="str">
        <f t="shared" si="22"/>
        <v/>
      </c>
      <c r="H14" s="26" t="str">
        <f t="shared" si="3"/>
        <v/>
      </c>
      <c r="I14" s="26" t="str">
        <f t="shared" si="4"/>
        <v/>
      </c>
      <c r="J14" s="45" t="str">
        <f t="shared" si="23"/>
        <v/>
      </c>
      <c r="K14" s="26" t="str">
        <f t="shared" si="5"/>
        <v/>
      </c>
      <c r="L14" s="26" t="str">
        <f t="shared" si="6"/>
        <v/>
      </c>
      <c r="M14" s="45" t="str">
        <f t="shared" si="24"/>
        <v/>
      </c>
      <c r="N14" s="26" t="str">
        <f t="shared" si="7"/>
        <v/>
      </c>
      <c r="O14" s="26" t="str">
        <f t="shared" si="8"/>
        <v/>
      </c>
      <c r="P14" s="45" t="str">
        <f t="shared" si="25"/>
        <v/>
      </c>
      <c r="Q14" s="26" t="str">
        <f t="shared" si="9"/>
        <v/>
      </c>
      <c r="R14" s="26" t="str">
        <f t="shared" si="10"/>
        <v/>
      </c>
      <c r="S14" s="45" t="str">
        <f t="shared" si="26"/>
        <v/>
      </c>
      <c r="T14" s="26" t="str">
        <f t="shared" si="11"/>
        <v/>
      </c>
      <c r="U14" s="26" t="str">
        <f t="shared" si="12"/>
        <v/>
      </c>
      <c r="V14" s="45" t="str">
        <f t="shared" si="27"/>
        <v/>
      </c>
      <c r="W14" s="26" t="str">
        <f t="shared" si="13"/>
        <v/>
      </c>
      <c r="X14" s="26" t="str">
        <f t="shared" si="14"/>
        <v/>
      </c>
      <c r="Y14" s="13" t="str">
        <f t="shared" si="28"/>
        <v/>
      </c>
      <c r="AB14" s="17">
        <v>6.25E-2</v>
      </c>
      <c r="AC14" s="28"/>
      <c r="AD14" s="28"/>
      <c r="AE14" s="28"/>
      <c r="AF14" s="28"/>
      <c r="AG14" s="28"/>
      <c r="AH14" s="28"/>
      <c r="AI14" s="28"/>
      <c r="AK14" s="17">
        <v>6.25E-2</v>
      </c>
      <c r="AL14" s="47"/>
      <c r="AM14" s="47"/>
      <c r="AN14" s="47"/>
      <c r="AO14" s="47"/>
      <c r="AP14" s="47"/>
      <c r="AQ14" s="47"/>
      <c r="AR14" s="47"/>
      <c r="AV14" s="37">
        <v>6.25E-2</v>
      </c>
      <c r="AW14" s="34" t="str">
        <f t="shared" si="15"/>
        <v/>
      </c>
      <c r="AX14" s="34" t="str">
        <f t="shared" si="16"/>
        <v/>
      </c>
      <c r="AY14" s="34" t="str">
        <f t="shared" si="17"/>
        <v/>
      </c>
      <c r="AZ14" s="34" t="str">
        <f t="shared" si="18"/>
        <v/>
      </c>
      <c r="BA14" s="34" t="str">
        <f t="shared" si="19"/>
        <v/>
      </c>
      <c r="BB14" s="34" t="str">
        <f t="shared" si="20"/>
        <v/>
      </c>
      <c r="BC14" s="35" t="str">
        <f t="shared" si="21"/>
        <v/>
      </c>
    </row>
    <row r="15" spans="3:55" hidden="1" x14ac:dyDescent="0.2">
      <c r="D15" s="17">
        <v>8.3333333333333301E-2</v>
      </c>
      <c r="E15" s="26" t="str">
        <f t="shared" si="1"/>
        <v/>
      </c>
      <c r="F15" s="26" t="str">
        <f t="shared" si="2"/>
        <v/>
      </c>
      <c r="G15" s="45" t="str">
        <f t="shared" si="22"/>
        <v/>
      </c>
      <c r="H15" s="26" t="str">
        <f t="shared" si="3"/>
        <v/>
      </c>
      <c r="I15" s="26" t="str">
        <f t="shared" si="4"/>
        <v/>
      </c>
      <c r="J15" s="45" t="str">
        <f t="shared" si="23"/>
        <v/>
      </c>
      <c r="K15" s="26" t="str">
        <f t="shared" si="5"/>
        <v/>
      </c>
      <c r="L15" s="26" t="str">
        <f t="shared" si="6"/>
        <v/>
      </c>
      <c r="M15" s="45" t="str">
        <f t="shared" si="24"/>
        <v/>
      </c>
      <c r="N15" s="26" t="str">
        <f t="shared" si="7"/>
        <v/>
      </c>
      <c r="O15" s="26" t="str">
        <f t="shared" si="8"/>
        <v/>
      </c>
      <c r="P15" s="45" t="str">
        <f t="shared" si="25"/>
        <v/>
      </c>
      <c r="Q15" s="26" t="str">
        <f t="shared" si="9"/>
        <v/>
      </c>
      <c r="R15" s="26" t="str">
        <f t="shared" si="10"/>
        <v/>
      </c>
      <c r="S15" s="45" t="str">
        <f t="shared" si="26"/>
        <v/>
      </c>
      <c r="T15" s="26" t="str">
        <f t="shared" si="11"/>
        <v/>
      </c>
      <c r="U15" s="26" t="str">
        <f t="shared" si="12"/>
        <v/>
      </c>
      <c r="V15" s="45" t="str">
        <f t="shared" si="27"/>
        <v/>
      </c>
      <c r="W15" s="26" t="str">
        <f t="shared" si="13"/>
        <v/>
      </c>
      <c r="X15" s="26" t="str">
        <f t="shared" si="14"/>
        <v/>
      </c>
      <c r="Y15" s="13" t="str">
        <f t="shared" si="28"/>
        <v/>
      </c>
      <c r="AB15" s="17">
        <v>8.3333333333333301E-2</v>
      </c>
      <c r="AC15" s="28"/>
      <c r="AD15" s="28"/>
      <c r="AE15" s="28"/>
      <c r="AF15" s="28"/>
      <c r="AG15" s="28"/>
      <c r="AH15" s="28"/>
      <c r="AI15" s="28"/>
      <c r="AK15" s="17">
        <v>8.3333333333333301E-2</v>
      </c>
      <c r="AL15" s="47"/>
      <c r="AM15" s="47"/>
      <c r="AN15" s="47"/>
      <c r="AO15" s="47"/>
      <c r="AP15" s="47"/>
      <c r="AQ15" s="47"/>
      <c r="AR15" s="47"/>
      <c r="AV15" s="37">
        <v>8.3333333333333301E-2</v>
      </c>
      <c r="AW15" s="34" t="str">
        <f t="shared" si="15"/>
        <v/>
      </c>
      <c r="AX15" s="34" t="str">
        <f t="shared" si="16"/>
        <v/>
      </c>
      <c r="AY15" s="34" t="str">
        <f t="shared" si="17"/>
        <v/>
      </c>
      <c r="AZ15" s="34" t="str">
        <f t="shared" si="18"/>
        <v/>
      </c>
      <c r="BA15" s="34" t="str">
        <f t="shared" si="19"/>
        <v/>
      </c>
      <c r="BB15" s="34" t="str">
        <f t="shared" si="20"/>
        <v/>
      </c>
      <c r="BC15" s="35" t="str">
        <f t="shared" si="21"/>
        <v/>
      </c>
    </row>
    <row r="16" spans="3:55" hidden="1" x14ac:dyDescent="0.2">
      <c r="D16" s="17">
        <v>0.104166666666667</v>
      </c>
      <c r="E16" s="26" t="str">
        <f t="shared" si="1"/>
        <v/>
      </c>
      <c r="F16" s="26" t="str">
        <f t="shared" si="2"/>
        <v/>
      </c>
      <c r="G16" s="45" t="str">
        <f t="shared" si="22"/>
        <v/>
      </c>
      <c r="H16" s="26" t="str">
        <f t="shared" si="3"/>
        <v/>
      </c>
      <c r="I16" s="26" t="str">
        <f t="shared" si="4"/>
        <v/>
      </c>
      <c r="J16" s="45" t="str">
        <f t="shared" si="23"/>
        <v/>
      </c>
      <c r="K16" s="26" t="str">
        <f t="shared" si="5"/>
        <v/>
      </c>
      <c r="L16" s="26" t="str">
        <f t="shared" si="6"/>
        <v/>
      </c>
      <c r="M16" s="45" t="str">
        <f t="shared" si="24"/>
        <v/>
      </c>
      <c r="N16" s="26" t="str">
        <f t="shared" si="7"/>
        <v/>
      </c>
      <c r="O16" s="26" t="str">
        <f t="shared" si="8"/>
        <v/>
      </c>
      <c r="P16" s="45" t="str">
        <f t="shared" si="25"/>
        <v/>
      </c>
      <c r="Q16" s="26" t="str">
        <f t="shared" si="9"/>
        <v/>
      </c>
      <c r="R16" s="26" t="str">
        <f t="shared" si="10"/>
        <v/>
      </c>
      <c r="S16" s="45" t="str">
        <f t="shared" si="26"/>
        <v/>
      </c>
      <c r="T16" s="26" t="str">
        <f t="shared" si="11"/>
        <v/>
      </c>
      <c r="U16" s="26" t="str">
        <f t="shared" si="12"/>
        <v/>
      </c>
      <c r="V16" s="45" t="str">
        <f t="shared" si="27"/>
        <v/>
      </c>
      <c r="W16" s="26" t="str">
        <f t="shared" si="13"/>
        <v/>
      </c>
      <c r="X16" s="26" t="str">
        <f t="shared" si="14"/>
        <v/>
      </c>
      <c r="Y16" s="13" t="str">
        <f t="shared" si="28"/>
        <v/>
      </c>
      <c r="AB16" s="17">
        <v>0.104166666666667</v>
      </c>
      <c r="AC16" s="28"/>
      <c r="AD16" s="28"/>
      <c r="AE16" s="28"/>
      <c r="AF16" s="28"/>
      <c r="AG16" s="28"/>
      <c r="AH16" s="28"/>
      <c r="AI16" s="28"/>
      <c r="AK16" s="17">
        <v>0.104166666666667</v>
      </c>
      <c r="AL16" s="47"/>
      <c r="AM16" s="47"/>
      <c r="AN16" s="47"/>
      <c r="AO16" s="47"/>
      <c r="AP16" s="47"/>
      <c r="AQ16" s="47"/>
      <c r="AR16" s="47"/>
      <c r="AV16" s="37">
        <v>0.104166666666667</v>
      </c>
      <c r="AW16" s="34" t="str">
        <f t="shared" si="15"/>
        <v/>
      </c>
      <c r="AX16" s="34" t="str">
        <f t="shared" si="16"/>
        <v/>
      </c>
      <c r="AY16" s="34" t="str">
        <f t="shared" si="17"/>
        <v/>
      </c>
      <c r="AZ16" s="34" t="str">
        <f t="shared" si="18"/>
        <v/>
      </c>
      <c r="BA16" s="34" t="str">
        <f t="shared" si="19"/>
        <v/>
      </c>
      <c r="BB16" s="34" t="str">
        <f t="shared" si="20"/>
        <v/>
      </c>
      <c r="BC16" s="35" t="str">
        <f t="shared" si="21"/>
        <v/>
      </c>
    </row>
    <row r="17" spans="4:55" hidden="1" x14ac:dyDescent="0.2">
      <c r="D17" s="17">
        <v>0.125</v>
      </c>
      <c r="E17" s="26" t="str">
        <f t="shared" si="1"/>
        <v/>
      </c>
      <c r="F17" s="26" t="str">
        <f t="shared" si="2"/>
        <v/>
      </c>
      <c r="G17" s="45" t="str">
        <f t="shared" si="22"/>
        <v/>
      </c>
      <c r="H17" s="26" t="str">
        <f t="shared" si="3"/>
        <v/>
      </c>
      <c r="I17" s="26" t="str">
        <f t="shared" si="4"/>
        <v/>
      </c>
      <c r="J17" s="45" t="str">
        <f t="shared" si="23"/>
        <v/>
      </c>
      <c r="K17" s="26" t="str">
        <f t="shared" si="5"/>
        <v/>
      </c>
      <c r="L17" s="26" t="str">
        <f t="shared" si="6"/>
        <v/>
      </c>
      <c r="M17" s="45" t="str">
        <f t="shared" si="24"/>
        <v/>
      </c>
      <c r="N17" s="26" t="str">
        <f t="shared" si="7"/>
        <v/>
      </c>
      <c r="O17" s="26" t="str">
        <f t="shared" si="8"/>
        <v/>
      </c>
      <c r="P17" s="45" t="str">
        <f t="shared" si="25"/>
        <v/>
      </c>
      <c r="Q17" s="26" t="str">
        <f t="shared" si="9"/>
        <v/>
      </c>
      <c r="R17" s="26" t="str">
        <f t="shared" si="10"/>
        <v/>
      </c>
      <c r="S17" s="45" t="str">
        <f t="shared" si="26"/>
        <v/>
      </c>
      <c r="T17" s="26" t="str">
        <f t="shared" si="11"/>
        <v/>
      </c>
      <c r="U17" s="26" t="str">
        <f t="shared" si="12"/>
        <v/>
      </c>
      <c r="V17" s="45" t="str">
        <f t="shared" si="27"/>
        <v/>
      </c>
      <c r="W17" s="26" t="str">
        <f t="shared" si="13"/>
        <v/>
      </c>
      <c r="X17" s="26" t="str">
        <f t="shared" si="14"/>
        <v/>
      </c>
      <c r="Y17" s="13" t="str">
        <f t="shared" si="28"/>
        <v/>
      </c>
      <c r="AB17" s="17">
        <v>0.125</v>
      </c>
      <c r="AC17" s="28"/>
      <c r="AD17" s="28"/>
      <c r="AE17" s="28"/>
      <c r="AF17" s="28"/>
      <c r="AG17" s="28"/>
      <c r="AH17" s="28"/>
      <c r="AI17" s="28"/>
      <c r="AK17" s="17">
        <v>0.125</v>
      </c>
      <c r="AL17" s="47"/>
      <c r="AM17" s="47"/>
      <c r="AN17" s="47"/>
      <c r="AO17" s="47"/>
      <c r="AP17" s="47"/>
      <c r="AQ17" s="47"/>
      <c r="AR17" s="47"/>
      <c r="AV17" s="37">
        <v>0.125</v>
      </c>
      <c r="AW17" s="34" t="str">
        <f t="shared" si="15"/>
        <v/>
      </c>
      <c r="AX17" s="34" t="str">
        <f t="shared" si="16"/>
        <v/>
      </c>
      <c r="AY17" s="34" t="str">
        <f t="shared" si="17"/>
        <v/>
      </c>
      <c r="AZ17" s="34" t="str">
        <f t="shared" si="18"/>
        <v/>
      </c>
      <c r="BA17" s="34" t="str">
        <f t="shared" si="19"/>
        <v/>
      </c>
      <c r="BB17" s="34" t="str">
        <f t="shared" si="20"/>
        <v/>
      </c>
      <c r="BC17" s="35" t="str">
        <f t="shared" si="21"/>
        <v/>
      </c>
    </row>
    <row r="18" spans="4:55" hidden="1" x14ac:dyDescent="0.2">
      <c r="D18" s="17">
        <v>0.14583333333333301</v>
      </c>
      <c r="E18" s="26" t="str">
        <f t="shared" si="1"/>
        <v/>
      </c>
      <c r="F18" s="26" t="str">
        <f t="shared" si="2"/>
        <v/>
      </c>
      <c r="G18" s="45" t="str">
        <f t="shared" si="22"/>
        <v/>
      </c>
      <c r="H18" s="26" t="str">
        <f t="shared" si="3"/>
        <v/>
      </c>
      <c r="I18" s="26" t="str">
        <f t="shared" si="4"/>
        <v/>
      </c>
      <c r="J18" s="45" t="str">
        <f t="shared" si="23"/>
        <v/>
      </c>
      <c r="K18" s="26" t="str">
        <f t="shared" si="5"/>
        <v/>
      </c>
      <c r="L18" s="26" t="str">
        <f t="shared" si="6"/>
        <v/>
      </c>
      <c r="M18" s="45" t="str">
        <f t="shared" si="24"/>
        <v/>
      </c>
      <c r="N18" s="26" t="str">
        <f t="shared" si="7"/>
        <v/>
      </c>
      <c r="O18" s="26" t="str">
        <f t="shared" si="8"/>
        <v/>
      </c>
      <c r="P18" s="45" t="str">
        <f t="shared" si="25"/>
        <v/>
      </c>
      <c r="Q18" s="26" t="str">
        <f t="shared" si="9"/>
        <v/>
      </c>
      <c r="R18" s="26" t="str">
        <f t="shared" si="10"/>
        <v/>
      </c>
      <c r="S18" s="45" t="str">
        <f t="shared" si="26"/>
        <v/>
      </c>
      <c r="T18" s="26" t="str">
        <f t="shared" si="11"/>
        <v/>
      </c>
      <c r="U18" s="26" t="str">
        <f t="shared" si="12"/>
        <v/>
      </c>
      <c r="V18" s="45" t="str">
        <f t="shared" si="27"/>
        <v/>
      </c>
      <c r="W18" s="26" t="str">
        <f t="shared" si="13"/>
        <v/>
      </c>
      <c r="X18" s="26" t="str">
        <f t="shared" si="14"/>
        <v/>
      </c>
      <c r="Y18" s="13" t="str">
        <f t="shared" si="28"/>
        <v/>
      </c>
      <c r="AB18" s="17">
        <v>0.14583333333333301</v>
      </c>
      <c r="AC18" s="28"/>
      <c r="AD18" s="28"/>
      <c r="AE18" s="28"/>
      <c r="AF18" s="28"/>
      <c r="AG18" s="28"/>
      <c r="AH18" s="28"/>
      <c r="AI18" s="28"/>
      <c r="AK18" s="17">
        <v>0.14583333333333301</v>
      </c>
      <c r="AL18" s="47"/>
      <c r="AM18" s="47"/>
      <c r="AN18" s="47"/>
      <c r="AO18" s="47"/>
      <c r="AP18" s="47"/>
      <c r="AQ18" s="47"/>
      <c r="AR18" s="47"/>
      <c r="AV18" s="37">
        <v>0.14583333333333301</v>
      </c>
      <c r="AW18" s="34" t="str">
        <f t="shared" si="15"/>
        <v/>
      </c>
      <c r="AX18" s="34" t="str">
        <f t="shared" si="16"/>
        <v/>
      </c>
      <c r="AY18" s="34" t="str">
        <f t="shared" si="17"/>
        <v/>
      </c>
      <c r="AZ18" s="34" t="str">
        <f t="shared" si="18"/>
        <v/>
      </c>
      <c r="BA18" s="34" t="str">
        <f t="shared" si="19"/>
        <v/>
      </c>
      <c r="BB18" s="34" t="str">
        <f t="shared" si="20"/>
        <v/>
      </c>
      <c r="BC18" s="35" t="str">
        <f t="shared" si="21"/>
        <v/>
      </c>
    </row>
    <row r="19" spans="4:55" hidden="1" x14ac:dyDescent="0.2">
      <c r="D19" s="17">
        <v>0.16666666666666599</v>
      </c>
      <c r="E19" s="26" t="str">
        <f t="shared" si="1"/>
        <v/>
      </c>
      <c r="F19" s="26" t="str">
        <f t="shared" si="2"/>
        <v/>
      </c>
      <c r="G19" s="45" t="str">
        <f t="shared" si="22"/>
        <v/>
      </c>
      <c r="H19" s="26" t="str">
        <f t="shared" si="3"/>
        <v/>
      </c>
      <c r="I19" s="26" t="str">
        <f t="shared" si="4"/>
        <v/>
      </c>
      <c r="J19" s="45" t="str">
        <f t="shared" si="23"/>
        <v/>
      </c>
      <c r="K19" s="26" t="str">
        <f t="shared" si="5"/>
        <v/>
      </c>
      <c r="L19" s="26" t="str">
        <f t="shared" si="6"/>
        <v/>
      </c>
      <c r="M19" s="45" t="str">
        <f t="shared" si="24"/>
        <v/>
      </c>
      <c r="N19" s="26" t="str">
        <f t="shared" si="7"/>
        <v/>
      </c>
      <c r="O19" s="26" t="str">
        <f t="shared" si="8"/>
        <v/>
      </c>
      <c r="P19" s="45" t="str">
        <f t="shared" si="25"/>
        <v/>
      </c>
      <c r="Q19" s="26" t="str">
        <f t="shared" si="9"/>
        <v/>
      </c>
      <c r="R19" s="26" t="str">
        <f t="shared" si="10"/>
        <v/>
      </c>
      <c r="S19" s="45" t="str">
        <f t="shared" si="26"/>
        <v/>
      </c>
      <c r="T19" s="26" t="str">
        <f t="shared" si="11"/>
        <v/>
      </c>
      <c r="U19" s="26" t="str">
        <f t="shared" si="12"/>
        <v/>
      </c>
      <c r="V19" s="45" t="str">
        <f t="shared" si="27"/>
        <v/>
      </c>
      <c r="W19" s="26" t="str">
        <f t="shared" si="13"/>
        <v/>
      </c>
      <c r="X19" s="26" t="str">
        <f t="shared" si="14"/>
        <v/>
      </c>
      <c r="Y19" s="13" t="str">
        <f t="shared" si="28"/>
        <v/>
      </c>
      <c r="AB19" s="17">
        <v>0.16666666666666599</v>
      </c>
      <c r="AC19" s="28"/>
      <c r="AD19" s="28"/>
      <c r="AE19" s="28"/>
      <c r="AF19" s="28"/>
      <c r="AG19" s="28"/>
      <c r="AH19" s="28"/>
      <c r="AI19" s="28"/>
      <c r="AK19" s="17">
        <v>0.16666666666666599</v>
      </c>
      <c r="AL19" s="47"/>
      <c r="AM19" s="47"/>
      <c r="AN19" s="47"/>
      <c r="AO19" s="47"/>
      <c r="AP19" s="47"/>
      <c r="AQ19" s="47"/>
      <c r="AR19" s="47"/>
      <c r="AV19" s="37">
        <v>0.16666666666666599</v>
      </c>
      <c r="AW19" s="34" t="str">
        <f t="shared" si="15"/>
        <v/>
      </c>
      <c r="AX19" s="34" t="str">
        <f t="shared" si="16"/>
        <v/>
      </c>
      <c r="AY19" s="34" t="str">
        <f t="shared" si="17"/>
        <v/>
      </c>
      <c r="AZ19" s="34" t="str">
        <f t="shared" si="18"/>
        <v/>
      </c>
      <c r="BA19" s="34" t="str">
        <f t="shared" si="19"/>
        <v/>
      </c>
      <c r="BB19" s="34" t="str">
        <f t="shared" si="20"/>
        <v/>
      </c>
      <c r="BC19" s="35" t="str">
        <f t="shared" si="21"/>
        <v/>
      </c>
    </row>
    <row r="20" spans="4:55" hidden="1" x14ac:dyDescent="0.2">
      <c r="D20" s="17">
        <v>0.1875</v>
      </c>
      <c r="E20" s="26" t="str">
        <f t="shared" si="1"/>
        <v/>
      </c>
      <c r="F20" s="26" t="str">
        <f t="shared" si="2"/>
        <v/>
      </c>
      <c r="G20" s="45" t="str">
        <f t="shared" si="22"/>
        <v/>
      </c>
      <c r="H20" s="26" t="str">
        <f t="shared" si="3"/>
        <v/>
      </c>
      <c r="I20" s="26" t="str">
        <f t="shared" si="4"/>
        <v/>
      </c>
      <c r="J20" s="45" t="str">
        <f t="shared" si="23"/>
        <v/>
      </c>
      <c r="K20" s="26" t="str">
        <f t="shared" si="5"/>
        <v/>
      </c>
      <c r="L20" s="26" t="str">
        <f t="shared" si="6"/>
        <v/>
      </c>
      <c r="M20" s="45" t="str">
        <f t="shared" si="24"/>
        <v/>
      </c>
      <c r="N20" s="26" t="str">
        <f t="shared" si="7"/>
        <v/>
      </c>
      <c r="O20" s="26" t="str">
        <f t="shared" si="8"/>
        <v/>
      </c>
      <c r="P20" s="45" t="str">
        <f t="shared" si="25"/>
        <v/>
      </c>
      <c r="Q20" s="26" t="str">
        <f t="shared" si="9"/>
        <v/>
      </c>
      <c r="R20" s="26" t="str">
        <f t="shared" si="10"/>
        <v/>
      </c>
      <c r="S20" s="45" t="str">
        <f t="shared" si="26"/>
        <v/>
      </c>
      <c r="T20" s="26" t="str">
        <f t="shared" si="11"/>
        <v/>
      </c>
      <c r="U20" s="26" t="str">
        <f t="shared" si="12"/>
        <v/>
      </c>
      <c r="V20" s="45" t="str">
        <f t="shared" si="27"/>
        <v/>
      </c>
      <c r="W20" s="26" t="str">
        <f t="shared" si="13"/>
        <v/>
      </c>
      <c r="X20" s="26" t="str">
        <f t="shared" si="14"/>
        <v/>
      </c>
      <c r="Y20" s="13" t="str">
        <f t="shared" si="28"/>
        <v/>
      </c>
      <c r="AB20" s="17">
        <v>0.1875</v>
      </c>
      <c r="AC20" s="28"/>
      <c r="AD20" s="28"/>
      <c r="AE20" s="28"/>
      <c r="AF20" s="28"/>
      <c r="AG20" s="28"/>
      <c r="AH20" s="28"/>
      <c r="AI20" s="28"/>
      <c r="AK20" s="17">
        <v>0.1875</v>
      </c>
      <c r="AL20" s="47"/>
      <c r="AM20" s="47"/>
      <c r="AN20" s="47"/>
      <c r="AO20" s="47"/>
      <c r="AP20" s="47"/>
      <c r="AQ20" s="47"/>
      <c r="AR20" s="47"/>
      <c r="AV20" s="37">
        <v>0.1875</v>
      </c>
      <c r="AW20" s="34" t="str">
        <f t="shared" si="15"/>
        <v/>
      </c>
      <c r="AX20" s="34" t="str">
        <f t="shared" si="16"/>
        <v/>
      </c>
      <c r="AY20" s="34" t="str">
        <f t="shared" si="17"/>
        <v/>
      </c>
      <c r="AZ20" s="34" t="str">
        <f t="shared" si="18"/>
        <v/>
      </c>
      <c r="BA20" s="34" t="str">
        <f t="shared" si="19"/>
        <v/>
      </c>
      <c r="BB20" s="34" t="str">
        <f t="shared" si="20"/>
        <v/>
      </c>
      <c r="BC20" s="35" t="str">
        <f t="shared" si="21"/>
        <v/>
      </c>
    </row>
    <row r="21" spans="4:55" hidden="1" x14ac:dyDescent="0.2">
      <c r="D21" s="17">
        <v>0.20833333333333301</v>
      </c>
      <c r="E21" s="26" t="str">
        <f t="shared" si="1"/>
        <v/>
      </c>
      <c r="F21" s="26" t="str">
        <f t="shared" si="2"/>
        <v/>
      </c>
      <c r="G21" s="45" t="str">
        <f t="shared" si="22"/>
        <v/>
      </c>
      <c r="H21" s="26" t="str">
        <f t="shared" si="3"/>
        <v/>
      </c>
      <c r="I21" s="26" t="str">
        <f t="shared" si="4"/>
        <v/>
      </c>
      <c r="J21" s="45" t="str">
        <f t="shared" si="23"/>
        <v/>
      </c>
      <c r="K21" s="26" t="str">
        <f t="shared" si="5"/>
        <v/>
      </c>
      <c r="L21" s="26" t="str">
        <f t="shared" si="6"/>
        <v/>
      </c>
      <c r="M21" s="45" t="str">
        <f t="shared" si="24"/>
        <v/>
      </c>
      <c r="N21" s="26" t="str">
        <f t="shared" si="7"/>
        <v/>
      </c>
      <c r="O21" s="26" t="str">
        <f t="shared" si="8"/>
        <v/>
      </c>
      <c r="P21" s="45" t="str">
        <f t="shared" si="25"/>
        <v/>
      </c>
      <c r="Q21" s="26" t="str">
        <f t="shared" si="9"/>
        <v/>
      </c>
      <c r="R21" s="26" t="str">
        <f t="shared" si="10"/>
        <v/>
      </c>
      <c r="S21" s="45" t="str">
        <f t="shared" si="26"/>
        <v/>
      </c>
      <c r="T21" s="26" t="str">
        <f t="shared" si="11"/>
        <v/>
      </c>
      <c r="U21" s="26" t="str">
        <f t="shared" si="12"/>
        <v/>
      </c>
      <c r="V21" s="45" t="str">
        <f t="shared" si="27"/>
        <v/>
      </c>
      <c r="W21" s="26" t="str">
        <f t="shared" si="13"/>
        <v/>
      </c>
      <c r="X21" s="26" t="str">
        <f t="shared" si="14"/>
        <v/>
      </c>
      <c r="Y21" s="13" t="str">
        <f t="shared" si="28"/>
        <v/>
      </c>
      <c r="AB21" s="17">
        <v>0.20833333333333301</v>
      </c>
      <c r="AC21" s="28"/>
      <c r="AD21" s="28"/>
      <c r="AE21" s="28"/>
      <c r="AF21" s="28"/>
      <c r="AG21" s="28"/>
      <c r="AH21" s="28"/>
      <c r="AI21" s="28"/>
      <c r="AK21" s="17">
        <v>0.20833333333333301</v>
      </c>
      <c r="AL21" s="47"/>
      <c r="AM21" s="47"/>
      <c r="AN21" s="47"/>
      <c r="AO21" s="47"/>
      <c r="AP21" s="47"/>
      <c r="AQ21" s="47"/>
      <c r="AR21" s="47"/>
      <c r="AV21" s="37">
        <v>0.20833333333333301</v>
      </c>
      <c r="AW21" s="34" t="str">
        <f t="shared" si="15"/>
        <v/>
      </c>
      <c r="AX21" s="34" t="str">
        <f t="shared" si="16"/>
        <v/>
      </c>
      <c r="AY21" s="34" t="str">
        <f t="shared" si="17"/>
        <v/>
      </c>
      <c r="AZ21" s="34" t="str">
        <f t="shared" si="18"/>
        <v/>
      </c>
      <c r="BA21" s="34" t="str">
        <f t="shared" si="19"/>
        <v/>
      </c>
      <c r="BB21" s="34" t="str">
        <f t="shared" si="20"/>
        <v/>
      </c>
      <c r="BC21" s="35" t="str">
        <f t="shared" si="21"/>
        <v/>
      </c>
    </row>
    <row r="22" spans="4:55" hidden="1" x14ac:dyDescent="0.2">
      <c r="D22" s="17">
        <v>0.22916666666666599</v>
      </c>
      <c r="E22" s="26" t="str">
        <f t="shared" si="1"/>
        <v/>
      </c>
      <c r="F22" s="26" t="str">
        <f t="shared" si="2"/>
        <v/>
      </c>
      <c r="G22" s="45" t="str">
        <f t="shared" si="22"/>
        <v/>
      </c>
      <c r="H22" s="26" t="str">
        <f t="shared" si="3"/>
        <v/>
      </c>
      <c r="I22" s="26" t="str">
        <f t="shared" si="4"/>
        <v/>
      </c>
      <c r="J22" s="45" t="str">
        <f t="shared" si="23"/>
        <v/>
      </c>
      <c r="K22" s="26" t="str">
        <f t="shared" si="5"/>
        <v/>
      </c>
      <c r="L22" s="26" t="str">
        <f t="shared" si="6"/>
        <v/>
      </c>
      <c r="M22" s="45" t="str">
        <f t="shared" si="24"/>
        <v/>
      </c>
      <c r="N22" s="26" t="str">
        <f t="shared" si="7"/>
        <v/>
      </c>
      <c r="O22" s="26" t="str">
        <f t="shared" si="8"/>
        <v/>
      </c>
      <c r="P22" s="45" t="str">
        <f t="shared" si="25"/>
        <v/>
      </c>
      <c r="Q22" s="26" t="str">
        <f t="shared" si="9"/>
        <v/>
      </c>
      <c r="R22" s="26" t="str">
        <f t="shared" si="10"/>
        <v/>
      </c>
      <c r="S22" s="45" t="str">
        <f t="shared" si="26"/>
        <v/>
      </c>
      <c r="T22" s="26" t="str">
        <f t="shared" si="11"/>
        <v/>
      </c>
      <c r="U22" s="26" t="str">
        <f t="shared" si="12"/>
        <v/>
      </c>
      <c r="V22" s="45" t="str">
        <f t="shared" si="27"/>
        <v/>
      </c>
      <c r="W22" s="26" t="str">
        <f t="shared" si="13"/>
        <v/>
      </c>
      <c r="X22" s="26" t="str">
        <f t="shared" si="14"/>
        <v/>
      </c>
      <c r="Y22" s="13" t="str">
        <f t="shared" si="28"/>
        <v/>
      </c>
      <c r="AB22" s="17">
        <v>0.22916666666666599</v>
      </c>
      <c r="AC22" s="28"/>
      <c r="AD22" s="28"/>
      <c r="AE22" s="28"/>
      <c r="AF22" s="28"/>
      <c r="AG22" s="28"/>
      <c r="AH22" s="28"/>
      <c r="AI22" s="28"/>
      <c r="AK22" s="17">
        <v>0.22916666666666599</v>
      </c>
      <c r="AL22" s="47"/>
      <c r="AM22" s="47"/>
      <c r="AN22" s="47"/>
      <c r="AO22" s="47"/>
      <c r="AP22" s="47"/>
      <c r="AQ22" s="47"/>
      <c r="AR22" s="47"/>
      <c r="AV22" s="37">
        <v>0.22916666666666599</v>
      </c>
      <c r="AW22" s="34" t="str">
        <f t="shared" si="15"/>
        <v/>
      </c>
      <c r="AX22" s="34" t="str">
        <f t="shared" si="16"/>
        <v/>
      </c>
      <c r="AY22" s="34" t="str">
        <f t="shared" si="17"/>
        <v/>
      </c>
      <c r="AZ22" s="34" t="str">
        <f t="shared" si="18"/>
        <v/>
      </c>
      <c r="BA22" s="34" t="str">
        <f t="shared" si="19"/>
        <v/>
      </c>
      <c r="BB22" s="34" t="str">
        <f t="shared" si="20"/>
        <v/>
      </c>
      <c r="BC22" s="35" t="str">
        <f t="shared" si="21"/>
        <v/>
      </c>
    </row>
    <row r="23" spans="4:55" hidden="1" x14ac:dyDescent="0.2">
      <c r="D23" s="17">
        <v>0.25</v>
      </c>
      <c r="E23" s="26" t="str">
        <f t="shared" si="1"/>
        <v/>
      </c>
      <c r="F23" s="26" t="str">
        <f t="shared" si="2"/>
        <v/>
      </c>
      <c r="G23" s="45" t="str">
        <f t="shared" si="22"/>
        <v/>
      </c>
      <c r="H23" s="26" t="str">
        <f t="shared" si="3"/>
        <v/>
      </c>
      <c r="I23" s="26" t="str">
        <f t="shared" si="4"/>
        <v/>
      </c>
      <c r="J23" s="45" t="str">
        <f t="shared" si="23"/>
        <v/>
      </c>
      <c r="K23" s="26" t="str">
        <f t="shared" si="5"/>
        <v/>
      </c>
      <c r="L23" s="26" t="str">
        <f t="shared" si="6"/>
        <v/>
      </c>
      <c r="M23" s="45" t="str">
        <f t="shared" si="24"/>
        <v/>
      </c>
      <c r="N23" s="26" t="str">
        <f t="shared" si="7"/>
        <v/>
      </c>
      <c r="O23" s="26" t="str">
        <f t="shared" si="8"/>
        <v/>
      </c>
      <c r="P23" s="45" t="str">
        <f t="shared" si="25"/>
        <v/>
      </c>
      <c r="Q23" s="26" t="str">
        <f t="shared" si="9"/>
        <v/>
      </c>
      <c r="R23" s="26" t="str">
        <f t="shared" si="10"/>
        <v/>
      </c>
      <c r="S23" s="45" t="str">
        <f t="shared" si="26"/>
        <v/>
      </c>
      <c r="T23" s="26" t="str">
        <f t="shared" si="11"/>
        <v/>
      </c>
      <c r="U23" s="26" t="str">
        <f t="shared" si="12"/>
        <v/>
      </c>
      <c r="V23" s="45" t="str">
        <f t="shared" si="27"/>
        <v/>
      </c>
      <c r="W23" s="26" t="str">
        <f t="shared" si="13"/>
        <v/>
      </c>
      <c r="X23" s="26" t="str">
        <f t="shared" si="14"/>
        <v/>
      </c>
      <c r="Y23" s="13" t="str">
        <f t="shared" si="28"/>
        <v/>
      </c>
      <c r="AB23" s="17">
        <v>0.25</v>
      </c>
      <c r="AC23" s="28"/>
      <c r="AD23" s="28"/>
      <c r="AE23" s="28"/>
      <c r="AF23" s="28"/>
      <c r="AG23" s="28"/>
      <c r="AH23" s="28"/>
      <c r="AI23" s="28"/>
      <c r="AK23" s="17">
        <v>0.25</v>
      </c>
      <c r="AL23" s="47"/>
      <c r="AM23" s="47"/>
      <c r="AN23" s="47"/>
      <c r="AO23" s="47"/>
      <c r="AP23" s="47"/>
      <c r="AQ23" s="47"/>
      <c r="AR23" s="47"/>
      <c r="AV23" s="37">
        <v>0.25</v>
      </c>
      <c r="AW23" s="34" t="str">
        <f t="shared" si="15"/>
        <v/>
      </c>
      <c r="AX23" s="34" t="str">
        <f t="shared" si="16"/>
        <v/>
      </c>
      <c r="AY23" s="34" t="str">
        <f t="shared" si="17"/>
        <v/>
      </c>
      <c r="AZ23" s="34" t="str">
        <f t="shared" si="18"/>
        <v/>
      </c>
      <c r="BA23" s="34" t="str">
        <f t="shared" si="19"/>
        <v/>
      </c>
      <c r="BB23" s="34" t="str">
        <f t="shared" si="20"/>
        <v/>
      </c>
      <c r="BC23" s="35" t="str">
        <f t="shared" si="21"/>
        <v/>
      </c>
    </row>
    <row r="24" spans="4:55" hidden="1" x14ac:dyDescent="0.2">
      <c r="D24" s="17">
        <v>0.27083333333333298</v>
      </c>
      <c r="E24" s="26" t="str">
        <f t="shared" si="1"/>
        <v/>
      </c>
      <c r="F24" s="26" t="str">
        <f t="shared" si="2"/>
        <v/>
      </c>
      <c r="G24" s="45" t="str">
        <f t="shared" si="22"/>
        <v/>
      </c>
      <c r="H24" s="26" t="str">
        <f t="shared" si="3"/>
        <v/>
      </c>
      <c r="I24" s="26" t="str">
        <f t="shared" si="4"/>
        <v/>
      </c>
      <c r="J24" s="45" t="str">
        <f t="shared" si="23"/>
        <v/>
      </c>
      <c r="K24" s="26" t="str">
        <f t="shared" si="5"/>
        <v/>
      </c>
      <c r="L24" s="26" t="str">
        <f t="shared" si="6"/>
        <v/>
      </c>
      <c r="M24" s="45" t="str">
        <f t="shared" si="24"/>
        <v/>
      </c>
      <c r="N24" s="26" t="str">
        <f t="shared" si="7"/>
        <v/>
      </c>
      <c r="O24" s="26" t="str">
        <f t="shared" si="8"/>
        <v/>
      </c>
      <c r="P24" s="45" t="str">
        <f t="shared" si="25"/>
        <v/>
      </c>
      <c r="Q24" s="26" t="str">
        <f t="shared" si="9"/>
        <v/>
      </c>
      <c r="R24" s="26" t="str">
        <f t="shared" si="10"/>
        <v/>
      </c>
      <c r="S24" s="45" t="str">
        <f t="shared" si="26"/>
        <v/>
      </c>
      <c r="T24" s="26" t="str">
        <f t="shared" si="11"/>
        <v/>
      </c>
      <c r="U24" s="26" t="str">
        <f t="shared" si="12"/>
        <v/>
      </c>
      <c r="V24" s="45" t="str">
        <f t="shared" si="27"/>
        <v/>
      </c>
      <c r="W24" s="26" t="str">
        <f t="shared" si="13"/>
        <v/>
      </c>
      <c r="X24" s="26" t="str">
        <f t="shared" si="14"/>
        <v/>
      </c>
      <c r="Y24" s="13" t="str">
        <f t="shared" si="28"/>
        <v/>
      </c>
      <c r="AB24" s="17">
        <v>0.27083333333333298</v>
      </c>
      <c r="AC24" s="28"/>
      <c r="AD24" s="28"/>
      <c r="AE24" s="28"/>
      <c r="AF24" s="28"/>
      <c r="AG24" s="28"/>
      <c r="AH24" s="28"/>
      <c r="AI24" s="28"/>
      <c r="AK24" s="17">
        <v>0.27083333333333298</v>
      </c>
      <c r="AL24" s="47"/>
      <c r="AM24" s="47"/>
      <c r="AN24" s="47"/>
      <c r="AO24" s="47"/>
      <c r="AP24" s="47"/>
      <c r="AQ24" s="47"/>
      <c r="AR24" s="47"/>
      <c r="AV24" s="37">
        <v>0.27083333333333298</v>
      </c>
      <c r="AW24" s="34" t="str">
        <f t="shared" si="15"/>
        <v/>
      </c>
      <c r="AX24" s="34" t="str">
        <f t="shared" si="16"/>
        <v/>
      </c>
      <c r="AY24" s="34" t="str">
        <f t="shared" si="17"/>
        <v/>
      </c>
      <c r="AZ24" s="34" t="str">
        <f t="shared" si="18"/>
        <v/>
      </c>
      <c r="BA24" s="34" t="str">
        <f t="shared" si="19"/>
        <v/>
      </c>
      <c r="BB24" s="34" t="str">
        <f t="shared" si="20"/>
        <v/>
      </c>
      <c r="BC24" s="35" t="str">
        <f t="shared" si="21"/>
        <v/>
      </c>
    </row>
    <row r="25" spans="4:55" hidden="1" x14ac:dyDescent="0.2">
      <c r="D25" s="17">
        <v>0.29166666666666602</v>
      </c>
      <c r="E25" s="26" t="str">
        <f t="shared" si="1"/>
        <v/>
      </c>
      <c r="F25" s="26" t="str">
        <f t="shared" si="2"/>
        <v/>
      </c>
      <c r="G25" s="45" t="str">
        <f t="shared" si="22"/>
        <v/>
      </c>
      <c r="H25" s="26" t="str">
        <f t="shared" si="3"/>
        <v/>
      </c>
      <c r="I25" s="26" t="str">
        <f t="shared" si="4"/>
        <v/>
      </c>
      <c r="J25" s="45" t="str">
        <f t="shared" si="23"/>
        <v/>
      </c>
      <c r="K25" s="26" t="str">
        <f t="shared" si="5"/>
        <v/>
      </c>
      <c r="L25" s="26" t="str">
        <f t="shared" si="6"/>
        <v/>
      </c>
      <c r="M25" s="45" t="str">
        <f t="shared" si="24"/>
        <v/>
      </c>
      <c r="N25" s="26" t="str">
        <f t="shared" si="7"/>
        <v/>
      </c>
      <c r="O25" s="26" t="str">
        <f t="shared" si="8"/>
        <v/>
      </c>
      <c r="P25" s="45" t="str">
        <f t="shared" si="25"/>
        <v/>
      </c>
      <c r="Q25" s="26" t="str">
        <f t="shared" si="9"/>
        <v/>
      </c>
      <c r="R25" s="26" t="str">
        <f t="shared" si="10"/>
        <v/>
      </c>
      <c r="S25" s="45" t="str">
        <f t="shared" si="26"/>
        <v/>
      </c>
      <c r="T25" s="26" t="str">
        <f t="shared" si="11"/>
        <v/>
      </c>
      <c r="U25" s="26" t="str">
        <f t="shared" si="12"/>
        <v/>
      </c>
      <c r="V25" s="45" t="str">
        <f t="shared" si="27"/>
        <v/>
      </c>
      <c r="W25" s="26" t="str">
        <f t="shared" si="13"/>
        <v/>
      </c>
      <c r="X25" s="26" t="str">
        <f t="shared" si="14"/>
        <v/>
      </c>
      <c r="Y25" s="13" t="str">
        <f t="shared" si="28"/>
        <v/>
      </c>
      <c r="AB25" s="17">
        <v>0.29166666666666602</v>
      </c>
      <c r="AC25" s="28"/>
      <c r="AD25" s="28"/>
      <c r="AE25" s="28"/>
      <c r="AF25" s="28"/>
      <c r="AG25" s="28"/>
      <c r="AH25" s="28"/>
      <c r="AI25" s="28"/>
      <c r="AK25" s="17">
        <v>0.29166666666666602</v>
      </c>
      <c r="AL25" s="47"/>
      <c r="AM25" s="47"/>
      <c r="AN25" s="47"/>
      <c r="AO25" s="47"/>
      <c r="AP25" s="47"/>
      <c r="AQ25" s="47"/>
      <c r="AR25" s="47"/>
      <c r="AV25" s="37">
        <v>0.29166666666666602</v>
      </c>
      <c r="AW25" s="34" t="str">
        <f t="shared" si="15"/>
        <v/>
      </c>
      <c r="AX25" s="34" t="str">
        <f t="shared" si="16"/>
        <v/>
      </c>
      <c r="AY25" s="34" t="str">
        <f t="shared" si="17"/>
        <v/>
      </c>
      <c r="AZ25" s="34" t="str">
        <f t="shared" si="18"/>
        <v/>
      </c>
      <c r="BA25" s="34" t="str">
        <f t="shared" si="19"/>
        <v/>
      </c>
      <c r="BB25" s="34" t="str">
        <f t="shared" si="20"/>
        <v/>
      </c>
      <c r="BC25" s="35" t="str">
        <f t="shared" si="21"/>
        <v/>
      </c>
    </row>
    <row r="26" spans="4:55" hidden="1" x14ac:dyDescent="0.2">
      <c r="D26" s="17">
        <v>0.3125</v>
      </c>
      <c r="E26" s="26" t="str">
        <f t="shared" si="1"/>
        <v/>
      </c>
      <c r="F26" s="26" t="str">
        <f t="shared" si="2"/>
        <v/>
      </c>
      <c r="G26" s="45" t="str">
        <f t="shared" si="22"/>
        <v/>
      </c>
      <c r="H26" s="26" t="str">
        <f t="shared" si="3"/>
        <v/>
      </c>
      <c r="I26" s="26" t="str">
        <f t="shared" si="4"/>
        <v/>
      </c>
      <c r="J26" s="45" t="str">
        <f t="shared" si="23"/>
        <v/>
      </c>
      <c r="K26" s="26" t="str">
        <f t="shared" si="5"/>
        <v/>
      </c>
      <c r="L26" s="26" t="str">
        <f t="shared" si="6"/>
        <v/>
      </c>
      <c r="M26" s="45" t="str">
        <f t="shared" si="24"/>
        <v/>
      </c>
      <c r="N26" s="26" t="str">
        <f t="shared" si="7"/>
        <v/>
      </c>
      <c r="O26" s="26" t="str">
        <f t="shared" si="8"/>
        <v/>
      </c>
      <c r="P26" s="45" t="str">
        <f t="shared" si="25"/>
        <v/>
      </c>
      <c r="Q26" s="26" t="str">
        <f t="shared" si="9"/>
        <v/>
      </c>
      <c r="R26" s="26" t="str">
        <f t="shared" si="10"/>
        <v/>
      </c>
      <c r="S26" s="45" t="str">
        <f t="shared" si="26"/>
        <v/>
      </c>
      <c r="T26" s="26" t="str">
        <f t="shared" si="11"/>
        <v/>
      </c>
      <c r="U26" s="26" t="str">
        <f t="shared" si="12"/>
        <v/>
      </c>
      <c r="V26" s="45" t="str">
        <f t="shared" si="27"/>
        <v/>
      </c>
      <c r="W26" s="26" t="str">
        <f t="shared" si="13"/>
        <v/>
      </c>
      <c r="X26" s="26" t="str">
        <f t="shared" si="14"/>
        <v/>
      </c>
      <c r="Y26" s="13" t="str">
        <f t="shared" si="28"/>
        <v/>
      </c>
      <c r="AB26" s="17">
        <v>0.3125</v>
      </c>
      <c r="AC26" s="28"/>
      <c r="AD26" s="28"/>
      <c r="AE26" s="28"/>
      <c r="AF26" s="28"/>
      <c r="AG26" s="28"/>
      <c r="AH26" s="28"/>
      <c r="AI26" s="28"/>
      <c r="AK26" s="17">
        <v>0.3125</v>
      </c>
      <c r="AL26" s="47"/>
      <c r="AM26" s="47"/>
      <c r="AN26" s="47"/>
      <c r="AO26" s="47"/>
      <c r="AP26" s="47"/>
      <c r="AQ26" s="47"/>
      <c r="AR26" s="47"/>
      <c r="AV26" s="37">
        <v>0.3125</v>
      </c>
      <c r="AW26" s="34" t="str">
        <f t="shared" si="15"/>
        <v/>
      </c>
      <c r="AX26" s="34" t="str">
        <f t="shared" si="16"/>
        <v/>
      </c>
      <c r="AY26" s="34" t="str">
        <f t="shared" si="17"/>
        <v/>
      </c>
      <c r="AZ26" s="34" t="str">
        <f t="shared" si="18"/>
        <v/>
      </c>
      <c r="BA26" s="34" t="str">
        <f t="shared" si="19"/>
        <v/>
      </c>
      <c r="BB26" s="34" t="str">
        <f t="shared" si="20"/>
        <v/>
      </c>
      <c r="BC26" s="35" t="str">
        <f t="shared" si="21"/>
        <v/>
      </c>
    </row>
    <row r="27" spans="4:55" x14ac:dyDescent="0.2">
      <c r="D27" s="17">
        <v>0.33333333333333298</v>
      </c>
      <c r="E27" s="26" t="str">
        <f t="shared" si="1"/>
        <v/>
      </c>
      <c r="F27" s="26" t="str">
        <f t="shared" si="2"/>
        <v/>
      </c>
      <c r="G27" s="45" t="str">
        <f t="shared" si="22"/>
        <v/>
      </c>
      <c r="H27" s="26">
        <f t="shared" si="3"/>
        <v>11.736529599432826</v>
      </c>
      <c r="I27" s="26">
        <f t="shared" si="4"/>
        <v>882.5</v>
      </c>
      <c r="J27" s="45">
        <f t="shared" si="23"/>
        <v>9</v>
      </c>
      <c r="K27" s="26">
        <f t="shared" si="5"/>
        <v>10.649813895781637</v>
      </c>
      <c r="L27" s="26">
        <f t="shared" si="6"/>
        <v>804.4</v>
      </c>
      <c r="M27" s="45">
        <f t="shared" si="24"/>
        <v>8</v>
      </c>
      <c r="N27" s="26">
        <f t="shared" si="7"/>
        <v>10.649813895781637</v>
      </c>
      <c r="O27" s="26">
        <f t="shared" si="8"/>
        <v>775.2</v>
      </c>
      <c r="P27" s="45">
        <f t="shared" si="25"/>
        <v>8</v>
      </c>
      <c r="Q27" s="26">
        <f t="shared" si="9"/>
        <v>18.908853243530661</v>
      </c>
      <c r="R27" s="26">
        <f t="shared" si="10"/>
        <v>709.66666666666663</v>
      </c>
      <c r="S27" s="45">
        <f t="shared" si="26"/>
        <v>11</v>
      </c>
      <c r="T27" s="26">
        <f t="shared" si="11"/>
        <v>17.170108117688763</v>
      </c>
      <c r="U27" s="26">
        <f t="shared" si="12"/>
        <v>799</v>
      </c>
      <c r="V27" s="45">
        <f t="shared" si="27"/>
        <v>11</v>
      </c>
      <c r="W27" s="26" t="str">
        <f t="shared" si="13"/>
        <v/>
      </c>
      <c r="X27" s="26" t="str">
        <f t="shared" si="14"/>
        <v/>
      </c>
      <c r="Y27" s="13" t="str">
        <f t="shared" si="28"/>
        <v/>
      </c>
      <c r="AB27" s="17">
        <v>0.33333333333333298</v>
      </c>
      <c r="AC27" s="28"/>
      <c r="AD27" s="28">
        <v>5.8064516129032261E-2</v>
      </c>
      <c r="AE27" s="28">
        <v>4.5119705340699819E-2</v>
      </c>
      <c r="AF27" s="28">
        <v>4.7665369649805445E-2</v>
      </c>
      <c r="AG27" s="28">
        <v>6.3829787234042548E-2</v>
      </c>
      <c r="AH27" s="28">
        <v>6.396761133603239E-2</v>
      </c>
      <c r="AI27" s="28"/>
      <c r="AK27" s="17">
        <v>0.33333333333333298</v>
      </c>
      <c r="AL27" s="47"/>
      <c r="AM27" s="47">
        <v>882.5</v>
      </c>
      <c r="AN27" s="47">
        <v>804.4</v>
      </c>
      <c r="AO27" s="47">
        <v>775.2</v>
      </c>
      <c r="AP27" s="47">
        <v>709.66666666666663</v>
      </c>
      <c r="AQ27" s="47">
        <v>799</v>
      </c>
      <c r="AR27" s="47"/>
      <c r="AV27" s="37">
        <v>0.33333333333333298</v>
      </c>
      <c r="AW27" s="34" t="str">
        <f t="shared" si="15"/>
        <v/>
      </c>
      <c r="AX27" s="34">
        <f t="shared" si="16"/>
        <v>11.736529599432826</v>
      </c>
      <c r="AY27" s="34">
        <f t="shared" si="17"/>
        <v>10.649813895781637</v>
      </c>
      <c r="AZ27" s="34">
        <f t="shared" si="18"/>
        <v>10.649813895781637</v>
      </c>
      <c r="BA27" s="34">
        <f t="shared" si="19"/>
        <v>18.908853243530661</v>
      </c>
      <c r="BB27" s="34">
        <f t="shared" si="20"/>
        <v>17.170108117688763</v>
      </c>
      <c r="BC27" s="35" t="str">
        <f t="shared" si="21"/>
        <v/>
      </c>
    </row>
    <row r="28" spans="4:55" hidden="1" x14ac:dyDescent="0.2">
      <c r="D28" s="17">
        <v>0.35416666666666602</v>
      </c>
      <c r="E28" s="26" t="str">
        <f t="shared" si="1"/>
        <v/>
      </c>
      <c r="F28" s="26" t="str">
        <f t="shared" si="2"/>
        <v/>
      </c>
      <c r="G28" s="45" t="str">
        <f t="shared" si="22"/>
        <v/>
      </c>
      <c r="H28" s="26" t="str">
        <f t="shared" si="3"/>
        <v/>
      </c>
      <c r="I28" s="26" t="str">
        <f t="shared" si="4"/>
        <v/>
      </c>
      <c r="J28" s="45" t="str">
        <f t="shared" si="23"/>
        <v/>
      </c>
      <c r="K28" s="26" t="str">
        <f t="shared" si="5"/>
        <v/>
      </c>
      <c r="L28" s="26" t="str">
        <f t="shared" si="6"/>
        <v/>
      </c>
      <c r="M28" s="45" t="str">
        <f t="shared" si="24"/>
        <v/>
      </c>
      <c r="N28" s="26" t="str">
        <f t="shared" si="7"/>
        <v/>
      </c>
      <c r="O28" s="26" t="str">
        <f t="shared" si="8"/>
        <v/>
      </c>
      <c r="P28" s="45" t="str">
        <f t="shared" si="25"/>
        <v/>
      </c>
      <c r="Q28" s="26" t="str">
        <f t="shared" si="9"/>
        <v/>
      </c>
      <c r="R28" s="26" t="str">
        <f t="shared" si="10"/>
        <v/>
      </c>
      <c r="S28" s="45" t="str">
        <f t="shared" si="26"/>
        <v/>
      </c>
      <c r="T28" s="26" t="str">
        <f t="shared" si="11"/>
        <v/>
      </c>
      <c r="U28" s="26" t="str">
        <f t="shared" si="12"/>
        <v/>
      </c>
      <c r="V28" s="45" t="str">
        <f t="shared" si="27"/>
        <v/>
      </c>
      <c r="W28" s="26" t="str">
        <f t="shared" si="13"/>
        <v/>
      </c>
      <c r="X28" s="26" t="str">
        <f t="shared" si="14"/>
        <v/>
      </c>
      <c r="Y28" s="13" t="str">
        <f t="shared" si="28"/>
        <v/>
      </c>
      <c r="AB28" s="17">
        <v>0.35416666666666602</v>
      </c>
      <c r="AC28" s="28"/>
      <c r="AD28" s="28">
        <v>0</v>
      </c>
      <c r="AE28" s="28">
        <v>0</v>
      </c>
      <c r="AF28" s="28">
        <v>0</v>
      </c>
      <c r="AG28" s="28">
        <v>0</v>
      </c>
      <c r="AH28" s="28">
        <v>0</v>
      </c>
      <c r="AI28" s="28"/>
      <c r="AK28" s="17">
        <v>0.35416666666666602</v>
      </c>
      <c r="AL28" s="47"/>
      <c r="AM28" s="47"/>
      <c r="AN28" s="47"/>
      <c r="AO28" s="47"/>
      <c r="AP28" s="47"/>
      <c r="AQ28" s="47"/>
      <c r="AR28" s="47"/>
      <c r="AV28" s="37">
        <v>0.35416666666666602</v>
      </c>
      <c r="AW28" s="34" t="str">
        <f t="shared" si="15"/>
        <v/>
      </c>
      <c r="AX28" s="34" t="str">
        <f t="shared" si="16"/>
        <v/>
      </c>
      <c r="AY28" s="34" t="str">
        <f t="shared" si="17"/>
        <v/>
      </c>
      <c r="AZ28" s="34" t="str">
        <f t="shared" si="18"/>
        <v/>
      </c>
      <c r="BA28" s="34" t="str">
        <f t="shared" si="19"/>
        <v/>
      </c>
      <c r="BB28" s="34" t="str">
        <f t="shared" si="20"/>
        <v/>
      </c>
      <c r="BC28" s="35" t="str">
        <f t="shared" si="21"/>
        <v/>
      </c>
    </row>
    <row r="29" spans="4:55" x14ac:dyDescent="0.2">
      <c r="D29" s="17">
        <v>0.375</v>
      </c>
      <c r="E29" s="26" t="str">
        <f t="shared" si="1"/>
        <v/>
      </c>
      <c r="F29" s="26" t="str">
        <f t="shared" si="2"/>
        <v/>
      </c>
      <c r="G29" s="45" t="str">
        <f t="shared" si="22"/>
        <v/>
      </c>
      <c r="H29" s="26">
        <f t="shared" si="3"/>
        <v>19.778225806451612</v>
      </c>
      <c r="I29" s="26">
        <f t="shared" si="4"/>
        <v>1024.2500000000002</v>
      </c>
      <c r="J29" s="45">
        <f t="shared" si="23"/>
        <v>16</v>
      </c>
      <c r="K29" s="26">
        <f t="shared" si="5"/>
        <v>21.951657213753986</v>
      </c>
      <c r="L29" s="26">
        <f t="shared" si="6"/>
        <v>911.4</v>
      </c>
      <c r="M29" s="45">
        <f t="shared" si="24"/>
        <v>15</v>
      </c>
      <c r="N29" s="26">
        <f t="shared" si="7"/>
        <v>19.995568947181848</v>
      </c>
      <c r="O29" s="26">
        <f t="shared" si="8"/>
        <v>832.6</v>
      </c>
      <c r="P29" s="45">
        <f t="shared" si="25"/>
        <v>13</v>
      </c>
      <c r="Q29" s="26">
        <f t="shared" si="9"/>
        <v>31.080069124423964</v>
      </c>
      <c r="R29" s="26">
        <f t="shared" si="10"/>
        <v>961.33333333333337</v>
      </c>
      <c r="S29" s="45">
        <f t="shared" si="26"/>
        <v>22</v>
      </c>
      <c r="T29" s="26">
        <f t="shared" si="11"/>
        <v>26.515863169088973</v>
      </c>
      <c r="U29" s="26">
        <f t="shared" si="12"/>
        <v>809.5</v>
      </c>
      <c r="V29" s="45">
        <f t="shared" si="27"/>
        <v>16</v>
      </c>
      <c r="W29" s="26" t="str">
        <f t="shared" si="13"/>
        <v/>
      </c>
      <c r="X29" s="26" t="str">
        <f t="shared" si="14"/>
        <v/>
      </c>
      <c r="Y29" s="13" t="str">
        <f t="shared" si="28"/>
        <v/>
      </c>
      <c r="AB29" s="17">
        <v>0.375</v>
      </c>
      <c r="AC29" s="28"/>
      <c r="AD29" s="28">
        <v>9.7849462365591403E-2</v>
      </c>
      <c r="AE29" s="28">
        <v>9.3001841620626149E-2</v>
      </c>
      <c r="AF29" s="28">
        <v>8.9494163424124515E-2</v>
      </c>
      <c r="AG29" s="28">
        <v>0.10491562729273661</v>
      </c>
      <c r="AH29" s="28">
        <v>9.8785425101214575E-2</v>
      </c>
      <c r="AI29" s="28"/>
      <c r="AK29" s="17">
        <v>0.375</v>
      </c>
      <c r="AL29" s="47"/>
      <c r="AM29" s="47">
        <v>1024.2500000000002</v>
      </c>
      <c r="AN29" s="47">
        <v>911.4</v>
      </c>
      <c r="AO29" s="47">
        <v>832.6</v>
      </c>
      <c r="AP29" s="47">
        <v>961.33333333333337</v>
      </c>
      <c r="AQ29" s="47">
        <v>809.5</v>
      </c>
      <c r="AR29" s="47"/>
      <c r="AV29" s="37">
        <v>0.375</v>
      </c>
      <c r="AW29" s="34" t="str">
        <f t="shared" si="15"/>
        <v/>
      </c>
      <c r="AX29" s="34">
        <f t="shared" si="16"/>
        <v>19.778225806451612</v>
      </c>
      <c r="AY29" s="34">
        <f t="shared" si="17"/>
        <v>21.951657213753986</v>
      </c>
      <c r="AZ29" s="34">
        <f t="shared" si="18"/>
        <v>19.995568947181848</v>
      </c>
      <c r="BA29" s="34">
        <f t="shared" si="19"/>
        <v>31.080069124423964</v>
      </c>
      <c r="BB29" s="34">
        <f t="shared" si="20"/>
        <v>26.515863169088973</v>
      </c>
      <c r="BC29" s="35" t="str">
        <f t="shared" si="21"/>
        <v/>
      </c>
    </row>
    <row r="30" spans="4:55" hidden="1" x14ac:dyDescent="0.2">
      <c r="D30" s="17">
        <v>0.39583333333333298</v>
      </c>
      <c r="E30" s="26" t="str">
        <f t="shared" si="1"/>
        <v/>
      </c>
      <c r="F30" s="26" t="str">
        <f t="shared" si="2"/>
        <v/>
      </c>
      <c r="G30" s="45" t="str">
        <f t="shared" si="22"/>
        <v/>
      </c>
      <c r="H30" s="26" t="str">
        <f t="shared" si="3"/>
        <v/>
      </c>
      <c r="I30" s="26" t="str">
        <f t="shared" si="4"/>
        <v/>
      </c>
      <c r="J30" s="45" t="str">
        <f t="shared" si="23"/>
        <v/>
      </c>
      <c r="K30" s="26" t="str">
        <f t="shared" si="5"/>
        <v/>
      </c>
      <c r="L30" s="26" t="str">
        <f t="shared" si="6"/>
        <v/>
      </c>
      <c r="M30" s="45" t="str">
        <f t="shared" si="24"/>
        <v/>
      </c>
      <c r="N30" s="26" t="str">
        <f t="shared" si="7"/>
        <v/>
      </c>
      <c r="O30" s="26" t="str">
        <f t="shared" si="8"/>
        <v/>
      </c>
      <c r="P30" s="45" t="str">
        <f t="shared" si="25"/>
        <v/>
      </c>
      <c r="Q30" s="26" t="str">
        <f t="shared" si="9"/>
        <v/>
      </c>
      <c r="R30" s="26" t="str">
        <f t="shared" si="10"/>
        <v/>
      </c>
      <c r="S30" s="45" t="str">
        <f t="shared" si="26"/>
        <v/>
      </c>
      <c r="T30" s="26" t="str">
        <f t="shared" si="11"/>
        <v/>
      </c>
      <c r="U30" s="26" t="str">
        <f t="shared" si="12"/>
        <v/>
      </c>
      <c r="V30" s="45" t="str">
        <f t="shared" si="27"/>
        <v/>
      </c>
      <c r="W30" s="26" t="str">
        <f t="shared" si="13"/>
        <v/>
      </c>
      <c r="X30" s="26" t="str">
        <f t="shared" si="14"/>
        <v/>
      </c>
      <c r="Y30" s="13" t="str">
        <f t="shared" si="28"/>
        <v/>
      </c>
      <c r="AB30" s="17">
        <v>0.39583333333333298</v>
      </c>
      <c r="AC30" s="28"/>
      <c r="AD30" s="28">
        <v>0</v>
      </c>
      <c r="AE30" s="28">
        <v>0</v>
      </c>
      <c r="AF30" s="28">
        <v>0</v>
      </c>
      <c r="AG30" s="28">
        <v>0</v>
      </c>
      <c r="AH30" s="28">
        <v>0</v>
      </c>
      <c r="AI30" s="28"/>
      <c r="AK30" s="17">
        <v>0.39583333333333298</v>
      </c>
      <c r="AL30" s="47"/>
      <c r="AM30" s="47"/>
      <c r="AN30" s="47"/>
      <c r="AO30" s="47"/>
      <c r="AP30" s="47"/>
      <c r="AQ30" s="47"/>
      <c r="AR30" s="47"/>
      <c r="AV30" s="37">
        <v>0.39583333333333298</v>
      </c>
      <c r="AW30" s="34" t="str">
        <f t="shared" si="15"/>
        <v/>
      </c>
      <c r="AX30" s="34" t="str">
        <f t="shared" si="16"/>
        <v/>
      </c>
      <c r="AY30" s="34" t="str">
        <f t="shared" si="17"/>
        <v/>
      </c>
      <c r="AZ30" s="34" t="str">
        <f t="shared" si="18"/>
        <v/>
      </c>
      <c r="BA30" s="34" t="str">
        <f t="shared" si="19"/>
        <v/>
      </c>
      <c r="BB30" s="34" t="str">
        <f t="shared" si="20"/>
        <v/>
      </c>
      <c r="BC30" s="35" t="str">
        <f t="shared" si="21"/>
        <v/>
      </c>
    </row>
    <row r="31" spans="4:55" x14ac:dyDescent="0.2">
      <c r="D31" s="17">
        <v>0.41666666666666602</v>
      </c>
      <c r="E31" s="26" t="str">
        <f t="shared" si="1"/>
        <v/>
      </c>
      <c r="F31" s="26" t="str">
        <f t="shared" si="2"/>
        <v/>
      </c>
      <c r="G31" s="45" t="str">
        <f t="shared" si="22"/>
        <v/>
      </c>
      <c r="H31" s="26">
        <f t="shared" si="3"/>
        <v>24.559774902516839</v>
      </c>
      <c r="I31" s="26">
        <f t="shared" si="4"/>
        <v>915</v>
      </c>
      <c r="J31" s="45">
        <f t="shared" si="23"/>
        <v>17</v>
      </c>
      <c r="K31" s="26">
        <f t="shared" si="5"/>
        <v>34.557559376107761</v>
      </c>
      <c r="L31" s="26">
        <f t="shared" si="6"/>
        <v>838</v>
      </c>
      <c r="M31" s="45">
        <f t="shared" si="24"/>
        <v>21</v>
      </c>
      <c r="N31" s="26">
        <f t="shared" si="7"/>
        <v>26.298520028358737</v>
      </c>
      <c r="O31" s="26">
        <f t="shared" si="8"/>
        <v>2981.8</v>
      </c>
      <c r="P31" s="45">
        <f t="shared" si="25"/>
        <v>51</v>
      </c>
      <c r="Q31" s="26">
        <f t="shared" si="9"/>
        <v>34.340216235377525</v>
      </c>
      <c r="R31" s="26">
        <f t="shared" si="10"/>
        <v>821.33333333333337</v>
      </c>
      <c r="S31" s="45">
        <f t="shared" si="26"/>
        <v>20</v>
      </c>
      <c r="T31" s="26">
        <f t="shared" si="11"/>
        <v>35.861618220489191</v>
      </c>
      <c r="U31" s="26">
        <f t="shared" si="12"/>
        <v>765</v>
      </c>
      <c r="V31" s="45">
        <f t="shared" si="27"/>
        <v>20</v>
      </c>
      <c r="W31" s="26" t="str">
        <f t="shared" si="13"/>
        <v/>
      </c>
      <c r="X31" s="26" t="str">
        <f t="shared" si="14"/>
        <v/>
      </c>
      <c r="Y31" s="13" t="str">
        <f t="shared" si="28"/>
        <v/>
      </c>
      <c r="AB31" s="17">
        <v>0.41666666666666602</v>
      </c>
      <c r="AC31" s="28"/>
      <c r="AD31" s="28">
        <v>0.12150537634408602</v>
      </c>
      <c r="AE31" s="28">
        <v>0.14640883977900551</v>
      </c>
      <c r="AF31" s="28">
        <v>0.11770428015564202</v>
      </c>
      <c r="AG31" s="28">
        <v>0.11592076302274394</v>
      </c>
      <c r="AH31" s="28">
        <v>0.13360323886639677</v>
      </c>
      <c r="AI31" s="28"/>
      <c r="AK31" s="17">
        <v>0.41666666666666602</v>
      </c>
      <c r="AL31" s="47"/>
      <c r="AM31" s="47">
        <v>915</v>
      </c>
      <c r="AN31" s="47">
        <v>838</v>
      </c>
      <c r="AO31" s="47">
        <v>2981.8</v>
      </c>
      <c r="AP31" s="47">
        <v>821.33333333333337</v>
      </c>
      <c r="AQ31" s="47">
        <v>765</v>
      </c>
      <c r="AR31" s="47"/>
      <c r="AV31" s="37">
        <v>0.41666666666666602</v>
      </c>
      <c r="AW31" s="34" t="str">
        <f t="shared" si="15"/>
        <v/>
      </c>
      <c r="AX31" s="34">
        <f t="shared" si="16"/>
        <v>24.559774902516839</v>
      </c>
      <c r="AY31" s="34">
        <f t="shared" si="17"/>
        <v>34.557559376107761</v>
      </c>
      <c r="AZ31" s="34">
        <f t="shared" si="18"/>
        <v>26.298520028358737</v>
      </c>
      <c r="BA31" s="34">
        <f t="shared" si="19"/>
        <v>34.340216235377525</v>
      </c>
      <c r="BB31" s="34">
        <f t="shared" si="20"/>
        <v>35.861618220489191</v>
      </c>
      <c r="BC31" s="35" t="str">
        <f t="shared" si="21"/>
        <v/>
      </c>
    </row>
    <row r="32" spans="4:55" hidden="1" x14ac:dyDescent="0.2">
      <c r="D32" s="17">
        <v>0.4375</v>
      </c>
      <c r="E32" s="26" t="str">
        <f t="shared" si="1"/>
        <v/>
      </c>
      <c r="F32" s="26" t="str">
        <f t="shared" si="2"/>
        <v/>
      </c>
      <c r="G32" s="45" t="str">
        <f t="shared" si="22"/>
        <v/>
      </c>
      <c r="H32" s="26" t="str">
        <f t="shared" si="3"/>
        <v/>
      </c>
      <c r="I32" s="26" t="str">
        <f t="shared" si="4"/>
        <v/>
      </c>
      <c r="J32" s="45" t="str">
        <f t="shared" si="23"/>
        <v/>
      </c>
      <c r="K32" s="26" t="str">
        <f t="shared" si="5"/>
        <v/>
      </c>
      <c r="L32" s="26" t="str">
        <f t="shared" si="6"/>
        <v/>
      </c>
      <c r="M32" s="45" t="str">
        <f t="shared" si="24"/>
        <v/>
      </c>
      <c r="N32" s="26" t="str">
        <f t="shared" si="7"/>
        <v/>
      </c>
      <c r="O32" s="26" t="str">
        <f t="shared" si="8"/>
        <v/>
      </c>
      <c r="P32" s="45" t="str">
        <f t="shared" si="25"/>
        <v/>
      </c>
      <c r="Q32" s="26" t="str">
        <f t="shared" si="9"/>
        <v/>
      </c>
      <c r="R32" s="26" t="str">
        <f t="shared" si="10"/>
        <v/>
      </c>
      <c r="S32" s="45" t="str">
        <f t="shared" si="26"/>
        <v/>
      </c>
      <c r="T32" s="26" t="str">
        <f t="shared" si="11"/>
        <v/>
      </c>
      <c r="U32" s="26" t="str">
        <f t="shared" si="12"/>
        <v/>
      </c>
      <c r="V32" s="45" t="str">
        <f t="shared" si="27"/>
        <v/>
      </c>
      <c r="W32" s="26" t="str">
        <f t="shared" si="13"/>
        <v/>
      </c>
      <c r="X32" s="26" t="str">
        <f t="shared" si="14"/>
        <v/>
      </c>
      <c r="Y32" s="13" t="str">
        <f t="shared" si="28"/>
        <v/>
      </c>
      <c r="AB32" s="17">
        <v>0.4375</v>
      </c>
      <c r="AC32" s="28"/>
      <c r="AD32" s="28">
        <v>0</v>
      </c>
      <c r="AE32" s="28">
        <v>0</v>
      </c>
      <c r="AF32" s="28">
        <v>0</v>
      </c>
      <c r="AG32" s="28">
        <v>0</v>
      </c>
      <c r="AH32" s="28">
        <v>0</v>
      </c>
      <c r="AI32" s="28"/>
      <c r="AK32" s="17">
        <v>0.4375</v>
      </c>
      <c r="AL32" s="47"/>
      <c r="AM32" s="47"/>
      <c r="AN32" s="47"/>
      <c r="AO32" s="47"/>
      <c r="AP32" s="47"/>
      <c r="AQ32" s="47"/>
      <c r="AR32" s="47"/>
      <c r="AV32" s="37">
        <v>0.4375</v>
      </c>
      <c r="AW32" s="34" t="str">
        <f t="shared" si="15"/>
        <v/>
      </c>
      <c r="AX32" s="34" t="str">
        <f t="shared" si="16"/>
        <v/>
      </c>
      <c r="AY32" s="34" t="str">
        <f t="shared" si="17"/>
        <v/>
      </c>
      <c r="AZ32" s="34" t="str">
        <f t="shared" si="18"/>
        <v/>
      </c>
      <c r="BA32" s="34" t="str">
        <f t="shared" si="19"/>
        <v/>
      </c>
      <c r="BB32" s="34" t="str">
        <f t="shared" si="20"/>
        <v/>
      </c>
      <c r="BC32" s="35" t="str">
        <f t="shared" si="21"/>
        <v/>
      </c>
    </row>
    <row r="33" spans="4:55" x14ac:dyDescent="0.2">
      <c r="D33" s="17">
        <v>0.45833333333333298</v>
      </c>
      <c r="E33" s="26" t="str">
        <f t="shared" si="1"/>
        <v/>
      </c>
      <c r="F33" s="26" t="str">
        <f t="shared" si="2"/>
        <v/>
      </c>
      <c r="G33" s="45" t="str">
        <f t="shared" si="22"/>
        <v/>
      </c>
      <c r="H33" s="26">
        <f t="shared" si="3"/>
        <v>26.950549450549449</v>
      </c>
      <c r="I33" s="26">
        <f t="shared" si="4"/>
        <v>858.5</v>
      </c>
      <c r="J33" s="45">
        <f t="shared" si="23"/>
        <v>17</v>
      </c>
      <c r="K33" s="26">
        <f t="shared" si="5"/>
        <v>30.862725983693725</v>
      </c>
      <c r="L33" s="26">
        <f t="shared" si="6"/>
        <v>899.2</v>
      </c>
      <c r="M33" s="45">
        <f t="shared" si="24"/>
        <v>20</v>
      </c>
      <c r="N33" s="26">
        <f t="shared" si="7"/>
        <v>29.123980857851826</v>
      </c>
      <c r="O33" s="26">
        <f t="shared" si="8"/>
        <v>962</v>
      </c>
      <c r="P33" s="45">
        <f t="shared" si="25"/>
        <v>20</v>
      </c>
      <c r="Q33" s="26">
        <f t="shared" si="9"/>
        <v>37.38302020560085</v>
      </c>
      <c r="R33" s="26">
        <f t="shared" si="10"/>
        <v>813.66666666666663</v>
      </c>
      <c r="S33" s="45">
        <f t="shared" si="26"/>
        <v>22</v>
      </c>
      <c r="T33" s="26">
        <f t="shared" si="11"/>
        <v>35.644275079758948</v>
      </c>
      <c r="U33" s="26">
        <f t="shared" si="12"/>
        <v>857</v>
      </c>
      <c r="V33" s="45">
        <f t="shared" si="27"/>
        <v>22</v>
      </c>
      <c r="W33" s="26" t="str">
        <f t="shared" si="13"/>
        <v/>
      </c>
      <c r="X33" s="26" t="str">
        <f t="shared" si="14"/>
        <v/>
      </c>
      <c r="Y33" s="13" t="str">
        <f t="shared" si="28"/>
        <v/>
      </c>
      <c r="AB33" s="17">
        <v>0.45833333333333298</v>
      </c>
      <c r="AC33" s="28"/>
      <c r="AD33" s="28">
        <v>0.13333333333333333</v>
      </c>
      <c r="AE33" s="28">
        <v>0.13075506445672191</v>
      </c>
      <c r="AF33" s="28">
        <v>0.13035019455252919</v>
      </c>
      <c r="AG33" s="28">
        <v>0.12619222303741745</v>
      </c>
      <c r="AH33" s="28">
        <v>0.13279352226720648</v>
      </c>
      <c r="AI33" s="28"/>
      <c r="AK33" s="17">
        <v>0.45833333333333298</v>
      </c>
      <c r="AL33" s="47"/>
      <c r="AM33" s="47">
        <v>858.5</v>
      </c>
      <c r="AN33" s="47">
        <v>899.2</v>
      </c>
      <c r="AO33" s="47">
        <v>962</v>
      </c>
      <c r="AP33" s="47">
        <v>813.66666666666663</v>
      </c>
      <c r="AQ33" s="47">
        <v>857</v>
      </c>
      <c r="AR33" s="47"/>
      <c r="AV33" s="37">
        <v>0.45833333333333298</v>
      </c>
      <c r="AW33" s="34" t="str">
        <f t="shared" si="15"/>
        <v/>
      </c>
      <c r="AX33" s="34">
        <f t="shared" si="16"/>
        <v>26.950549450549449</v>
      </c>
      <c r="AY33" s="34">
        <f t="shared" si="17"/>
        <v>30.862725983693725</v>
      </c>
      <c r="AZ33" s="34">
        <f t="shared" si="18"/>
        <v>29.123980857851826</v>
      </c>
      <c r="BA33" s="34">
        <f t="shared" si="19"/>
        <v>37.38302020560085</v>
      </c>
      <c r="BB33" s="34">
        <f t="shared" si="20"/>
        <v>35.644275079758948</v>
      </c>
      <c r="BC33" s="35" t="str">
        <f t="shared" si="21"/>
        <v/>
      </c>
    </row>
    <row r="34" spans="4:55" hidden="1" x14ac:dyDescent="0.2">
      <c r="D34" s="17">
        <v>0.47916666666666602</v>
      </c>
      <c r="E34" s="26" t="str">
        <f t="shared" si="1"/>
        <v/>
      </c>
      <c r="F34" s="26" t="str">
        <f t="shared" si="2"/>
        <v/>
      </c>
      <c r="G34" s="45" t="str">
        <f t="shared" si="22"/>
        <v/>
      </c>
      <c r="H34" s="26" t="str">
        <f t="shared" si="3"/>
        <v/>
      </c>
      <c r="I34" s="26" t="str">
        <f t="shared" si="4"/>
        <v/>
      </c>
      <c r="J34" s="45" t="str">
        <f t="shared" si="23"/>
        <v/>
      </c>
      <c r="K34" s="26" t="str">
        <f t="shared" si="5"/>
        <v/>
      </c>
      <c r="L34" s="26" t="str">
        <f t="shared" si="6"/>
        <v/>
      </c>
      <c r="M34" s="45" t="str">
        <f t="shared" si="24"/>
        <v/>
      </c>
      <c r="N34" s="26" t="str">
        <f t="shared" si="7"/>
        <v/>
      </c>
      <c r="O34" s="26" t="str">
        <f t="shared" si="8"/>
        <v/>
      </c>
      <c r="P34" s="45" t="str">
        <f t="shared" si="25"/>
        <v/>
      </c>
      <c r="Q34" s="26" t="str">
        <f t="shared" si="9"/>
        <v/>
      </c>
      <c r="R34" s="26" t="str">
        <f t="shared" si="10"/>
        <v/>
      </c>
      <c r="S34" s="45" t="str">
        <f t="shared" si="26"/>
        <v/>
      </c>
      <c r="T34" s="26" t="str">
        <f t="shared" si="11"/>
        <v/>
      </c>
      <c r="U34" s="26" t="str">
        <f t="shared" si="12"/>
        <v/>
      </c>
      <c r="V34" s="45" t="str">
        <f t="shared" si="27"/>
        <v/>
      </c>
      <c r="W34" s="26" t="str">
        <f t="shared" si="13"/>
        <v/>
      </c>
      <c r="X34" s="26" t="str">
        <f t="shared" si="14"/>
        <v/>
      </c>
      <c r="Y34" s="13" t="str">
        <f t="shared" si="28"/>
        <v/>
      </c>
      <c r="AB34" s="17">
        <v>0.47916666666666602</v>
      </c>
      <c r="AC34" s="28"/>
      <c r="AD34" s="28">
        <v>0</v>
      </c>
      <c r="AE34" s="28">
        <v>0</v>
      </c>
      <c r="AF34" s="28">
        <v>0</v>
      </c>
      <c r="AG34" s="28">
        <v>0</v>
      </c>
      <c r="AH34" s="28">
        <v>0</v>
      </c>
      <c r="AI34" s="28"/>
      <c r="AK34" s="17">
        <v>0.47916666666666602</v>
      </c>
      <c r="AL34" s="47"/>
      <c r="AM34" s="47"/>
      <c r="AN34" s="47"/>
      <c r="AO34" s="47"/>
      <c r="AP34" s="47"/>
      <c r="AQ34" s="47"/>
      <c r="AR34" s="47"/>
      <c r="AV34" s="37">
        <v>0.47916666666666602</v>
      </c>
      <c r="AW34" s="34" t="str">
        <f t="shared" si="15"/>
        <v/>
      </c>
      <c r="AX34" s="34" t="str">
        <f t="shared" si="16"/>
        <v/>
      </c>
      <c r="AY34" s="34" t="str">
        <f t="shared" si="17"/>
        <v/>
      </c>
      <c r="AZ34" s="34" t="str">
        <f t="shared" si="18"/>
        <v/>
      </c>
      <c r="BA34" s="34" t="str">
        <f t="shared" si="19"/>
        <v/>
      </c>
      <c r="BB34" s="34" t="str">
        <f t="shared" si="20"/>
        <v/>
      </c>
      <c r="BC34" s="35" t="str">
        <f t="shared" si="21"/>
        <v/>
      </c>
    </row>
    <row r="35" spans="4:55" x14ac:dyDescent="0.2">
      <c r="D35" s="17">
        <v>0.5</v>
      </c>
      <c r="E35" s="26" t="str">
        <f t="shared" si="1"/>
        <v/>
      </c>
      <c r="F35" s="26" t="str">
        <f t="shared" si="2"/>
        <v/>
      </c>
      <c r="G35" s="45" t="str">
        <f t="shared" si="22"/>
        <v/>
      </c>
      <c r="H35" s="26">
        <f t="shared" si="3"/>
        <v>29.993353420772774</v>
      </c>
      <c r="I35" s="26">
        <f t="shared" si="4"/>
        <v>1016</v>
      </c>
      <c r="J35" s="45">
        <f t="shared" si="23"/>
        <v>22</v>
      </c>
      <c r="K35" s="26">
        <f t="shared" si="5"/>
        <v>33.036157390996102</v>
      </c>
      <c r="L35" s="26">
        <f t="shared" si="6"/>
        <v>1002.6</v>
      </c>
      <c r="M35" s="45">
        <f t="shared" si="24"/>
        <v>24</v>
      </c>
      <c r="N35" s="26">
        <f t="shared" si="7"/>
        <v>30.428039702233246</v>
      </c>
      <c r="O35" s="26">
        <f t="shared" si="8"/>
        <v>890.8</v>
      </c>
      <c r="P35" s="45">
        <f t="shared" si="25"/>
        <v>20</v>
      </c>
      <c r="Q35" s="26">
        <f t="shared" si="9"/>
        <v>39.991137894363703</v>
      </c>
      <c r="R35" s="26">
        <f t="shared" si="10"/>
        <v>1032</v>
      </c>
      <c r="S35" s="45">
        <f t="shared" si="26"/>
        <v>29</v>
      </c>
      <c r="T35" s="26">
        <f t="shared" si="11"/>
        <v>39.77379475363346</v>
      </c>
      <c r="U35" s="26">
        <f t="shared" si="12"/>
        <v>1029.5</v>
      </c>
      <c r="V35" s="45">
        <f t="shared" si="27"/>
        <v>28</v>
      </c>
      <c r="W35" s="26" t="str">
        <f t="shared" si="13"/>
        <v/>
      </c>
      <c r="X35" s="26" t="str">
        <f t="shared" si="14"/>
        <v/>
      </c>
      <c r="Y35" s="13" t="str">
        <f t="shared" si="28"/>
        <v/>
      </c>
      <c r="AB35" s="17">
        <v>0.5</v>
      </c>
      <c r="AC35" s="28"/>
      <c r="AD35" s="28">
        <v>0.14838709677419354</v>
      </c>
      <c r="AE35" s="28">
        <v>0.13996316758747698</v>
      </c>
      <c r="AF35" s="28">
        <v>0.13618677042801555</v>
      </c>
      <c r="AG35" s="28">
        <v>0.13499633162142333</v>
      </c>
      <c r="AH35" s="28">
        <v>0.14817813765182186</v>
      </c>
      <c r="AI35" s="28"/>
      <c r="AK35" s="17">
        <v>0.5</v>
      </c>
      <c r="AL35" s="47"/>
      <c r="AM35" s="47">
        <v>1016</v>
      </c>
      <c r="AN35" s="47">
        <v>1002.6</v>
      </c>
      <c r="AO35" s="47">
        <v>890.8</v>
      </c>
      <c r="AP35" s="47">
        <v>1032</v>
      </c>
      <c r="AQ35" s="47">
        <v>1029.5</v>
      </c>
      <c r="AR35" s="47"/>
      <c r="AV35" s="37">
        <v>0.5</v>
      </c>
      <c r="AW35" s="34" t="str">
        <f t="shared" si="15"/>
        <v/>
      </c>
      <c r="AX35" s="34">
        <f t="shared" si="16"/>
        <v>29.993353420772774</v>
      </c>
      <c r="AY35" s="34">
        <f t="shared" si="17"/>
        <v>33.036157390996102</v>
      </c>
      <c r="AZ35" s="34">
        <f t="shared" si="18"/>
        <v>30.428039702233246</v>
      </c>
      <c r="BA35" s="34">
        <f t="shared" si="19"/>
        <v>39.991137894363703</v>
      </c>
      <c r="BB35" s="34">
        <f t="shared" si="20"/>
        <v>39.77379475363346</v>
      </c>
      <c r="BC35" s="35" t="str">
        <f t="shared" si="21"/>
        <v/>
      </c>
    </row>
    <row r="36" spans="4:55" hidden="1" x14ac:dyDescent="0.2">
      <c r="D36" s="17">
        <v>0.52083333333333304</v>
      </c>
      <c r="E36" s="26" t="str">
        <f t="shared" si="1"/>
        <v/>
      </c>
      <c r="F36" s="26" t="str">
        <f t="shared" si="2"/>
        <v/>
      </c>
      <c r="G36" s="45" t="str">
        <f t="shared" si="22"/>
        <v/>
      </c>
      <c r="H36" s="26" t="str">
        <f t="shared" si="3"/>
        <v/>
      </c>
      <c r="I36" s="26" t="str">
        <f t="shared" si="4"/>
        <v/>
      </c>
      <c r="J36" s="45" t="str">
        <f t="shared" si="23"/>
        <v/>
      </c>
      <c r="K36" s="26" t="str">
        <f t="shared" si="5"/>
        <v/>
      </c>
      <c r="L36" s="26" t="str">
        <f t="shared" si="6"/>
        <v/>
      </c>
      <c r="M36" s="45" t="str">
        <f t="shared" si="24"/>
        <v/>
      </c>
      <c r="N36" s="26" t="str">
        <f t="shared" si="7"/>
        <v/>
      </c>
      <c r="O36" s="26" t="str">
        <f t="shared" si="8"/>
        <v/>
      </c>
      <c r="P36" s="45" t="str">
        <f t="shared" si="25"/>
        <v/>
      </c>
      <c r="Q36" s="26" t="str">
        <f t="shared" si="9"/>
        <v/>
      </c>
      <c r="R36" s="26" t="str">
        <f t="shared" si="10"/>
        <v/>
      </c>
      <c r="S36" s="45" t="str">
        <f t="shared" si="26"/>
        <v/>
      </c>
      <c r="T36" s="26" t="str">
        <f t="shared" si="11"/>
        <v/>
      </c>
      <c r="U36" s="26" t="str">
        <f t="shared" si="12"/>
        <v/>
      </c>
      <c r="V36" s="45" t="str">
        <f t="shared" si="27"/>
        <v/>
      </c>
      <c r="W36" s="26" t="str">
        <f t="shared" si="13"/>
        <v/>
      </c>
      <c r="X36" s="26" t="str">
        <f t="shared" si="14"/>
        <v/>
      </c>
      <c r="Y36" s="13" t="str">
        <f t="shared" si="28"/>
        <v/>
      </c>
      <c r="AB36" s="17">
        <v>0.52083333333333304</v>
      </c>
      <c r="AC36" s="28"/>
      <c r="AD36" s="28">
        <v>0</v>
      </c>
      <c r="AE36" s="28">
        <v>0</v>
      </c>
      <c r="AF36" s="28">
        <v>0</v>
      </c>
      <c r="AG36" s="28">
        <v>0</v>
      </c>
      <c r="AH36" s="28">
        <v>0</v>
      </c>
      <c r="AI36" s="28"/>
      <c r="AK36" s="17">
        <v>0.52083333333333304</v>
      </c>
      <c r="AL36" s="47"/>
      <c r="AM36" s="47"/>
      <c r="AN36" s="47"/>
      <c r="AO36" s="47"/>
      <c r="AP36" s="47"/>
      <c r="AQ36" s="47"/>
      <c r="AR36" s="47"/>
      <c r="AV36" s="37">
        <v>0.52083333333333304</v>
      </c>
      <c r="AW36" s="34" t="str">
        <f t="shared" si="15"/>
        <v/>
      </c>
      <c r="AX36" s="34" t="str">
        <f t="shared" si="16"/>
        <v/>
      </c>
      <c r="AY36" s="34" t="str">
        <f t="shared" si="17"/>
        <v/>
      </c>
      <c r="AZ36" s="34" t="str">
        <f t="shared" si="18"/>
        <v/>
      </c>
      <c r="BA36" s="34" t="str">
        <f t="shared" si="19"/>
        <v/>
      </c>
      <c r="BB36" s="34" t="str">
        <f t="shared" si="20"/>
        <v/>
      </c>
      <c r="BC36" s="35" t="str">
        <f t="shared" si="21"/>
        <v/>
      </c>
    </row>
    <row r="37" spans="4:55" x14ac:dyDescent="0.2">
      <c r="D37" s="17">
        <v>0.54166666666666596</v>
      </c>
      <c r="E37" s="26" t="str">
        <f t="shared" si="1"/>
        <v/>
      </c>
      <c r="F37" s="26" t="str">
        <f t="shared" si="2"/>
        <v/>
      </c>
      <c r="G37" s="45" t="str">
        <f t="shared" si="22"/>
        <v/>
      </c>
      <c r="H37" s="26">
        <f t="shared" si="3"/>
        <v>27.602578872740164</v>
      </c>
      <c r="I37" s="26">
        <f t="shared" si="4"/>
        <v>877.75</v>
      </c>
      <c r="J37" s="45">
        <f t="shared" si="23"/>
        <v>18</v>
      </c>
      <c r="K37" s="26">
        <f t="shared" si="5"/>
        <v>26.515863169088973</v>
      </c>
      <c r="L37" s="26">
        <f t="shared" si="6"/>
        <v>884.8</v>
      </c>
      <c r="M37" s="45">
        <f t="shared" si="24"/>
        <v>18</v>
      </c>
      <c r="N37" s="26">
        <f t="shared" si="7"/>
        <v>31.2974122651542</v>
      </c>
      <c r="O37" s="26">
        <f t="shared" si="8"/>
        <v>890.2</v>
      </c>
      <c r="P37" s="45">
        <f t="shared" si="25"/>
        <v>20</v>
      </c>
      <c r="Q37" s="26">
        <f t="shared" si="9"/>
        <v>38.469735909252044</v>
      </c>
      <c r="R37" s="26">
        <f t="shared" si="10"/>
        <v>964.33333333333337</v>
      </c>
      <c r="S37" s="45">
        <f t="shared" si="26"/>
        <v>26</v>
      </c>
      <c r="T37" s="26">
        <f t="shared" si="11"/>
        <v>33.036157390996102</v>
      </c>
      <c r="U37" s="26">
        <f t="shared" si="12"/>
        <v>1068.5</v>
      </c>
      <c r="V37" s="45">
        <f t="shared" si="27"/>
        <v>25</v>
      </c>
      <c r="W37" s="26" t="str">
        <f t="shared" si="13"/>
        <v/>
      </c>
      <c r="X37" s="26" t="str">
        <f t="shared" si="14"/>
        <v/>
      </c>
      <c r="Y37" s="13" t="str">
        <f t="shared" si="28"/>
        <v/>
      </c>
      <c r="AB37" s="17">
        <v>0.54166666666666596</v>
      </c>
      <c r="AC37" s="28"/>
      <c r="AD37" s="28">
        <v>0.13655913978494624</v>
      </c>
      <c r="AE37" s="28">
        <v>0.11233885819521179</v>
      </c>
      <c r="AF37" s="28">
        <v>0.14007782101167315</v>
      </c>
      <c r="AG37" s="28">
        <v>0.12986060161408658</v>
      </c>
      <c r="AH37" s="28">
        <v>0.12307692307692308</v>
      </c>
      <c r="AI37" s="28"/>
      <c r="AK37" s="17">
        <v>0.54166666666666596</v>
      </c>
      <c r="AL37" s="47"/>
      <c r="AM37" s="47">
        <v>877.75</v>
      </c>
      <c r="AN37" s="47">
        <v>884.8</v>
      </c>
      <c r="AO37" s="47">
        <v>890.2</v>
      </c>
      <c r="AP37" s="47">
        <v>964.33333333333337</v>
      </c>
      <c r="AQ37" s="47">
        <v>1068.5</v>
      </c>
      <c r="AR37" s="47"/>
      <c r="AV37" s="37">
        <v>0.54166666666666596</v>
      </c>
      <c r="AW37" s="34" t="str">
        <f t="shared" si="15"/>
        <v/>
      </c>
      <c r="AX37" s="34">
        <f t="shared" si="16"/>
        <v>27.602578872740164</v>
      </c>
      <c r="AY37" s="34">
        <f t="shared" si="17"/>
        <v>26.515863169088973</v>
      </c>
      <c r="AZ37" s="34">
        <f t="shared" si="18"/>
        <v>31.2974122651542</v>
      </c>
      <c r="BA37" s="34">
        <f t="shared" si="19"/>
        <v>38.469735909252044</v>
      </c>
      <c r="BB37" s="34">
        <f t="shared" si="20"/>
        <v>33.036157390996102</v>
      </c>
      <c r="BC37" s="35" t="str">
        <f t="shared" si="21"/>
        <v/>
      </c>
    </row>
    <row r="38" spans="4:55" hidden="1" x14ac:dyDescent="0.2">
      <c r="D38" s="17">
        <v>0.5625</v>
      </c>
      <c r="E38" s="26" t="str">
        <f t="shared" si="1"/>
        <v/>
      </c>
      <c r="F38" s="26" t="str">
        <f t="shared" si="2"/>
        <v/>
      </c>
      <c r="G38" s="45" t="str">
        <f t="shared" si="22"/>
        <v/>
      </c>
      <c r="H38" s="26" t="str">
        <f t="shared" si="3"/>
        <v/>
      </c>
      <c r="I38" s="26" t="str">
        <f t="shared" si="4"/>
        <v/>
      </c>
      <c r="J38" s="45" t="str">
        <f t="shared" si="23"/>
        <v/>
      </c>
      <c r="K38" s="26" t="str">
        <f t="shared" si="5"/>
        <v/>
      </c>
      <c r="L38" s="26" t="str">
        <f t="shared" si="6"/>
        <v/>
      </c>
      <c r="M38" s="45" t="str">
        <f t="shared" si="24"/>
        <v/>
      </c>
      <c r="N38" s="26" t="str">
        <f t="shared" si="7"/>
        <v/>
      </c>
      <c r="O38" s="26" t="str">
        <f t="shared" si="8"/>
        <v/>
      </c>
      <c r="P38" s="45" t="str">
        <f t="shared" si="25"/>
        <v/>
      </c>
      <c r="Q38" s="26" t="str">
        <f t="shared" si="9"/>
        <v/>
      </c>
      <c r="R38" s="26" t="str">
        <f t="shared" si="10"/>
        <v/>
      </c>
      <c r="S38" s="45" t="str">
        <f t="shared" si="26"/>
        <v/>
      </c>
      <c r="T38" s="26" t="str">
        <f t="shared" si="11"/>
        <v/>
      </c>
      <c r="U38" s="26" t="str">
        <f t="shared" si="12"/>
        <v/>
      </c>
      <c r="V38" s="45" t="str">
        <f t="shared" si="27"/>
        <v/>
      </c>
      <c r="W38" s="26" t="str">
        <f t="shared" si="13"/>
        <v/>
      </c>
      <c r="X38" s="26" t="str">
        <f t="shared" si="14"/>
        <v/>
      </c>
      <c r="Y38" s="13" t="str">
        <f t="shared" si="28"/>
        <v/>
      </c>
      <c r="AB38" s="17">
        <v>0.5625</v>
      </c>
      <c r="AC38" s="28"/>
      <c r="AD38" s="28">
        <v>0</v>
      </c>
      <c r="AE38" s="28">
        <v>0</v>
      </c>
      <c r="AF38" s="28">
        <v>0</v>
      </c>
      <c r="AG38" s="28">
        <v>0</v>
      </c>
      <c r="AH38" s="28">
        <v>0</v>
      </c>
      <c r="AI38" s="28"/>
      <c r="AK38" s="17">
        <v>0.5625</v>
      </c>
      <c r="AL38" s="47"/>
      <c r="AM38" s="47"/>
      <c r="AN38" s="47"/>
      <c r="AO38" s="47"/>
      <c r="AP38" s="47"/>
      <c r="AQ38" s="47"/>
      <c r="AR38" s="47"/>
      <c r="AV38" s="37">
        <v>0.5625</v>
      </c>
      <c r="AW38" s="34" t="str">
        <f t="shared" si="15"/>
        <v/>
      </c>
      <c r="AX38" s="34" t="str">
        <f t="shared" si="16"/>
        <v/>
      </c>
      <c r="AY38" s="34" t="str">
        <f t="shared" si="17"/>
        <v/>
      </c>
      <c r="AZ38" s="34" t="str">
        <f t="shared" si="18"/>
        <v/>
      </c>
      <c r="BA38" s="34" t="str">
        <f t="shared" si="19"/>
        <v/>
      </c>
      <c r="BB38" s="34" t="str">
        <f t="shared" si="20"/>
        <v/>
      </c>
      <c r="BC38" s="35" t="str">
        <f t="shared" si="21"/>
        <v/>
      </c>
    </row>
    <row r="39" spans="4:55" x14ac:dyDescent="0.2">
      <c r="D39" s="17">
        <v>0.58333333333333304</v>
      </c>
      <c r="E39" s="26" t="str">
        <f t="shared" si="1"/>
        <v/>
      </c>
      <c r="F39" s="26" t="str">
        <f t="shared" si="2"/>
        <v/>
      </c>
      <c r="G39" s="45" t="str">
        <f t="shared" si="22"/>
        <v/>
      </c>
      <c r="H39" s="26">
        <f t="shared" si="3"/>
        <v>25.211804324707551</v>
      </c>
      <c r="I39" s="26">
        <f t="shared" si="4"/>
        <v>877.5</v>
      </c>
      <c r="J39" s="45">
        <f t="shared" si="23"/>
        <v>17</v>
      </c>
      <c r="K39" s="26">
        <f t="shared" si="5"/>
        <v>29.558667139312302</v>
      </c>
      <c r="L39" s="26">
        <f t="shared" si="6"/>
        <v>991.8</v>
      </c>
      <c r="M39" s="45">
        <f t="shared" si="24"/>
        <v>21</v>
      </c>
      <c r="N39" s="26">
        <f t="shared" si="7"/>
        <v>28.037265154200636</v>
      </c>
      <c r="O39" s="26">
        <f t="shared" si="8"/>
        <v>1501.2</v>
      </c>
      <c r="P39" s="45">
        <f t="shared" si="25"/>
        <v>29</v>
      </c>
      <c r="Q39" s="26">
        <f t="shared" si="9"/>
        <v>36.296304501949663</v>
      </c>
      <c r="R39" s="26">
        <f t="shared" si="10"/>
        <v>933.66666666666663</v>
      </c>
      <c r="S39" s="45">
        <f t="shared" si="26"/>
        <v>24</v>
      </c>
      <c r="T39" s="26">
        <f t="shared" si="11"/>
        <v>27.385235732009924</v>
      </c>
      <c r="U39" s="26">
        <f t="shared" si="12"/>
        <v>812</v>
      </c>
      <c r="V39" s="45">
        <f t="shared" si="27"/>
        <v>17</v>
      </c>
      <c r="W39" s="26" t="str">
        <f t="shared" si="13"/>
        <v/>
      </c>
      <c r="X39" s="26" t="str">
        <f t="shared" si="14"/>
        <v/>
      </c>
      <c r="Y39" s="13" t="str">
        <f t="shared" si="28"/>
        <v/>
      </c>
      <c r="AB39" s="17">
        <v>0.58333333333333304</v>
      </c>
      <c r="AC39" s="28"/>
      <c r="AD39" s="28">
        <v>0.12473118279569892</v>
      </c>
      <c r="AE39" s="28">
        <v>0.12523020257826889</v>
      </c>
      <c r="AF39" s="28">
        <v>0.1254863813229572</v>
      </c>
      <c r="AG39" s="28">
        <v>0.12252384446074835</v>
      </c>
      <c r="AH39" s="28">
        <v>0.10202429149797571</v>
      </c>
      <c r="AI39" s="28"/>
      <c r="AK39" s="17">
        <v>0.58333333333333304</v>
      </c>
      <c r="AL39" s="47"/>
      <c r="AM39" s="47">
        <v>877.5</v>
      </c>
      <c r="AN39" s="47">
        <v>991.8</v>
      </c>
      <c r="AO39" s="47">
        <v>1501.2</v>
      </c>
      <c r="AP39" s="47">
        <v>933.66666666666663</v>
      </c>
      <c r="AQ39" s="47">
        <v>812</v>
      </c>
      <c r="AR39" s="47"/>
      <c r="AV39" s="37">
        <v>0.58333333333333304</v>
      </c>
      <c r="AW39" s="34" t="str">
        <f t="shared" si="15"/>
        <v/>
      </c>
      <c r="AX39" s="34">
        <f t="shared" si="16"/>
        <v>25.211804324707551</v>
      </c>
      <c r="AY39" s="34">
        <f t="shared" si="17"/>
        <v>29.558667139312302</v>
      </c>
      <c r="AZ39" s="34">
        <f t="shared" si="18"/>
        <v>28.037265154200636</v>
      </c>
      <c r="BA39" s="34">
        <f t="shared" si="19"/>
        <v>36.296304501949663</v>
      </c>
      <c r="BB39" s="34">
        <f t="shared" si="20"/>
        <v>27.385235732009924</v>
      </c>
      <c r="BC39" s="35" t="str">
        <f t="shared" si="21"/>
        <v/>
      </c>
    </row>
    <row r="40" spans="4:55" hidden="1" x14ac:dyDescent="0.2">
      <c r="D40" s="17">
        <v>0.60416666666666596</v>
      </c>
      <c r="E40" s="26" t="str">
        <f t="shared" si="1"/>
        <v/>
      </c>
      <c r="F40" s="26" t="str">
        <f t="shared" si="2"/>
        <v/>
      </c>
      <c r="G40" s="45" t="str">
        <f t="shared" si="22"/>
        <v/>
      </c>
      <c r="H40" s="26" t="str">
        <f t="shared" si="3"/>
        <v/>
      </c>
      <c r="I40" s="26" t="str">
        <f t="shared" si="4"/>
        <v/>
      </c>
      <c r="J40" s="45" t="str">
        <f t="shared" si="23"/>
        <v/>
      </c>
      <c r="K40" s="26" t="str">
        <f t="shared" si="5"/>
        <v/>
      </c>
      <c r="L40" s="26" t="str">
        <f t="shared" si="6"/>
        <v/>
      </c>
      <c r="M40" s="45" t="str">
        <f t="shared" si="24"/>
        <v/>
      </c>
      <c r="N40" s="26" t="str">
        <f t="shared" si="7"/>
        <v/>
      </c>
      <c r="O40" s="26" t="str">
        <f t="shared" si="8"/>
        <v/>
      </c>
      <c r="P40" s="45" t="str">
        <f t="shared" si="25"/>
        <v/>
      </c>
      <c r="Q40" s="26" t="str">
        <f t="shared" si="9"/>
        <v/>
      </c>
      <c r="R40" s="26" t="str">
        <f t="shared" si="10"/>
        <v/>
      </c>
      <c r="S40" s="45" t="str">
        <f t="shared" si="26"/>
        <v/>
      </c>
      <c r="T40" s="26" t="str">
        <f t="shared" si="11"/>
        <v/>
      </c>
      <c r="U40" s="26" t="str">
        <f t="shared" si="12"/>
        <v/>
      </c>
      <c r="V40" s="45" t="str">
        <f t="shared" si="27"/>
        <v/>
      </c>
      <c r="W40" s="26" t="str">
        <f t="shared" si="13"/>
        <v/>
      </c>
      <c r="X40" s="26" t="str">
        <f t="shared" si="14"/>
        <v/>
      </c>
      <c r="Y40" s="13" t="str">
        <f t="shared" si="28"/>
        <v/>
      </c>
      <c r="AB40" s="17">
        <v>0.60416666666666596</v>
      </c>
      <c r="AC40" s="28"/>
      <c r="AD40" s="28">
        <v>0</v>
      </c>
      <c r="AE40" s="28">
        <v>0</v>
      </c>
      <c r="AF40" s="28">
        <v>0</v>
      </c>
      <c r="AG40" s="28">
        <v>0</v>
      </c>
      <c r="AH40" s="28">
        <v>0</v>
      </c>
      <c r="AI40" s="28"/>
      <c r="AK40" s="17">
        <v>0.60416666666666596</v>
      </c>
      <c r="AL40" s="47"/>
      <c r="AM40" s="47"/>
      <c r="AN40" s="47"/>
      <c r="AO40" s="47"/>
      <c r="AP40" s="47"/>
      <c r="AQ40" s="47"/>
      <c r="AR40" s="47"/>
      <c r="AV40" s="37">
        <v>0.60416666666666596</v>
      </c>
      <c r="AW40" s="34" t="str">
        <f t="shared" si="15"/>
        <v/>
      </c>
      <c r="AX40" s="34" t="str">
        <f t="shared" si="16"/>
        <v/>
      </c>
      <c r="AY40" s="34" t="str">
        <f t="shared" si="17"/>
        <v/>
      </c>
      <c r="AZ40" s="34" t="str">
        <f t="shared" si="18"/>
        <v/>
      </c>
      <c r="BA40" s="34" t="str">
        <f t="shared" si="19"/>
        <v/>
      </c>
      <c r="BB40" s="34" t="str">
        <f t="shared" si="20"/>
        <v/>
      </c>
      <c r="BC40" s="35" t="str">
        <f t="shared" si="21"/>
        <v/>
      </c>
    </row>
    <row r="41" spans="4:55" x14ac:dyDescent="0.2">
      <c r="D41" s="17">
        <v>0.624999999999999</v>
      </c>
      <c r="E41" s="26" t="str">
        <f t="shared" si="1"/>
        <v/>
      </c>
      <c r="F41" s="26" t="str">
        <f t="shared" si="2"/>
        <v/>
      </c>
      <c r="G41" s="45" t="str">
        <f t="shared" si="22"/>
        <v/>
      </c>
      <c r="H41" s="26">
        <f t="shared" si="3"/>
        <v>20.647598369372563</v>
      </c>
      <c r="I41" s="26">
        <f t="shared" si="4"/>
        <v>1874.0000000000002</v>
      </c>
      <c r="J41" s="45">
        <f t="shared" si="23"/>
        <v>27</v>
      </c>
      <c r="K41" s="26">
        <f t="shared" si="5"/>
        <v>26.950549450549449</v>
      </c>
      <c r="L41" s="26">
        <f t="shared" si="6"/>
        <v>899.6</v>
      </c>
      <c r="M41" s="45">
        <f t="shared" si="24"/>
        <v>18</v>
      </c>
      <c r="N41" s="26">
        <f t="shared" si="7"/>
        <v>28.254608294930872</v>
      </c>
      <c r="O41" s="26">
        <f t="shared" si="8"/>
        <v>884.6</v>
      </c>
      <c r="P41" s="45">
        <f t="shared" si="25"/>
        <v>19</v>
      </c>
      <c r="Q41" s="26">
        <f t="shared" si="9"/>
        <v>31.080069124423964</v>
      </c>
      <c r="R41" s="26">
        <f t="shared" si="10"/>
        <v>2038</v>
      </c>
      <c r="S41" s="45">
        <f t="shared" si="26"/>
        <v>42</v>
      </c>
      <c r="T41" s="26">
        <f>BB41</f>
        <v>29.341323998582062</v>
      </c>
      <c r="U41" s="26">
        <f t="shared" si="12"/>
        <v>869.5</v>
      </c>
      <c r="V41" s="45">
        <f t="shared" si="27"/>
        <v>19</v>
      </c>
      <c r="W41" s="26" t="str">
        <f t="shared" si="13"/>
        <v/>
      </c>
      <c r="X41" s="26" t="str">
        <f t="shared" si="14"/>
        <v/>
      </c>
      <c r="Y41" s="13" t="str">
        <f t="shared" si="28"/>
        <v/>
      </c>
      <c r="AB41" s="17">
        <v>0.624999999999999</v>
      </c>
      <c r="AC41" s="28"/>
      <c r="AD41" s="28">
        <v>0.10215053763440861</v>
      </c>
      <c r="AE41" s="28">
        <v>0.1141804788213628</v>
      </c>
      <c r="AF41" s="28">
        <v>0.12645914396887159</v>
      </c>
      <c r="AG41" s="28">
        <v>0.10491562729273661</v>
      </c>
      <c r="AH41" s="28">
        <v>0.10931174089068826</v>
      </c>
      <c r="AI41" s="28"/>
      <c r="AK41" s="17">
        <v>0.624999999999999</v>
      </c>
      <c r="AL41" s="47"/>
      <c r="AM41" s="47">
        <v>1874.0000000000002</v>
      </c>
      <c r="AN41" s="47">
        <v>899.6</v>
      </c>
      <c r="AO41" s="47">
        <v>884.6</v>
      </c>
      <c r="AP41" s="47">
        <v>2038</v>
      </c>
      <c r="AQ41" s="47">
        <v>869.5</v>
      </c>
      <c r="AR41" s="47"/>
      <c r="AV41" s="37">
        <v>0.625</v>
      </c>
      <c r="AW41" s="34" t="str">
        <f t="shared" si="15"/>
        <v/>
      </c>
      <c r="AX41" s="34">
        <f t="shared" si="16"/>
        <v>20.647598369372563</v>
      </c>
      <c r="AY41" s="34">
        <f t="shared" si="17"/>
        <v>26.950549450549449</v>
      </c>
      <c r="AZ41" s="34">
        <f t="shared" si="18"/>
        <v>28.254608294930872</v>
      </c>
      <c r="BA41" s="34">
        <f t="shared" si="19"/>
        <v>31.080069124423964</v>
      </c>
      <c r="BB41" s="34">
        <f t="shared" si="20"/>
        <v>29.341323998582062</v>
      </c>
      <c r="BC41" s="35" t="str">
        <f t="shared" si="21"/>
        <v/>
      </c>
    </row>
    <row r="42" spans="4:55" hidden="1" x14ac:dyDescent="0.2">
      <c r="D42" s="17">
        <v>0.64583333333333204</v>
      </c>
      <c r="E42" s="26" t="str">
        <f t="shared" si="1"/>
        <v/>
      </c>
      <c r="F42" s="26" t="str">
        <f t="shared" si="2"/>
        <v/>
      </c>
      <c r="G42" s="45" t="str">
        <f t="shared" si="22"/>
        <v/>
      </c>
      <c r="H42" s="26" t="str">
        <f t="shared" si="3"/>
        <v/>
      </c>
      <c r="I42" s="26" t="str">
        <f t="shared" si="4"/>
        <v/>
      </c>
      <c r="J42" s="45" t="str">
        <f t="shared" si="23"/>
        <v/>
      </c>
      <c r="K42" s="26" t="str">
        <f t="shared" si="5"/>
        <v/>
      </c>
      <c r="L42" s="26" t="str">
        <f t="shared" si="6"/>
        <v/>
      </c>
      <c r="M42" s="45" t="str">
        <f t="shared" si="24"/>
        <v/>
      </c>
      <c r="N42" s="26" t="str">
        <f t="shared" si="7"/>
        <v/>
      </c>
      <c r="O42" s="26" t="str">
        <f t="shared" si="8"/>
        <v/>
      </c>
      <c r="P42" s="45" t="str">
        <f t="shared" si="25"/>
        <v/>
      </c>
      <c r="Q42" s="26" t="str">
        <f t="shared" si="9"/>
        <v/>
      </c>
      <c r="R42" s="26" t="str">
        <f t="shared" si="10"/>
        <v/>
      </c>
      <c r="S42" s="45" t="str">
        <f t="shared" si="26"/>
        <v/>
      </c>
      <c r="T42" s="26" t="str">
        <f t="shared" si="11"/>
        <v/>
      </c>
      <c r="U42" s="26" t="str">
        <f t="shared" si="12"/>
        <v/>
      </c>
      <c r="V42" s="45" t="str">
        <f t="shared" si="27"/>
        <v/>
      </c>
      <c r="W42" s="26" t="str">
        <f t="shared" si="13"/>
        <v/>
      </c>
      <c r="X42" s="26" t="str">
        <f t="shared" si="14"/>
        <v/>
      </c>
      <c r="Y42" s="13" t="str">
        <f t="shared" si="28"/>
        <v/>
      </c>
      <c r="AB42" s="17">
        <v>0.64583333333333204</v>
      </c>
      <c r="AC42" s="28"/>
      <c r="AD42" s="28">
        <v>0</v>
      </c>
      <c r="AE42" s="28">
        <v>0</v>
      </c>
      <c r="AF42" s="28">
        <v>0</v>
      </c>
      <c r="AG42" s="28">
        <v>0</v>
      </c>
      <c r="AH42" s="28">
        <v>0</v>
      </c>
      <c r="AI42" s="28"/>
      <c r="AK42" s="17">
        <v>0.64583333333333204</v>
      </c>
      <c r="AL42" s="47"/>
      <c r="AM42" s="47"/>
      <c r="AN42" s="47"/>
      <c r="AO42" s="47"/>
      <c r="AP42" s="47"/>
      <c r="AQ42" s="47"/>
      <c r="AR42" s="47"/>
      <c r="AV42" s="37">
        <v>0.64583333333333304</v>
      </c>
      <c r="AW42" s="34" t="str">
        <f t="shared" si="15"/>
        <v/>
      </c>
      <c r="AX42" s="34" t="str">
        <f t="shared" si="16"/>
        <v/>
      </c>
      <c r="AY42" s="34" t="str">
        <f t="shared" si="17"/>
        <v/>
      </c>
      <c r="AZ42" s="34" t="str">
        <f t="shared" si="18"/>
        <v/>
      </c>
      <c r="BA42" s="34" t="str">
        <f t="shared" si="19"/>
        <v/>
      </c>
      <c r="BB42" s="34" t="str">
        <f t="shared" si="20"/>
        <v/>
      </c>
      <c r="BC42" s="35" t="str">
        <f t="shared" si="21"/>
        <v/>
      </c>
    </row>
    <row r="43" spans="4:55" x14ac:dyDescent="0.2">
      <c r="D43" s="17">
        <v>0.66666666666666496</v>
      </c>
      <c r="E43" s="26" t="str">
        <f t="shared" si="1"/>
        <v/>
      </c>
      <c r="F43" s="26" t="str">
        <f t="shared" si="2"/>
        <v/>
      </c>
      <c r="G43" s="45" t="str">
        <f t="shared" si="22"/>
        <v/>
      </c>
      <c r="H43" s="26">
        <f t="shared" si="3"/>
        <v>15.214019851116626</v>
      </c>
      <c r="I43" s="26">
        <f t="shared" si="4"/>
        <v>914.25</v>
      </c>
      <c r="J43" s="45">
        <f t="shared" si="23"/>
        <v>11</v>
      </c>
      <c r="K43" s="26">
        <f t="shared" si="5"/>
        <v>21.951657213753986</v>
      </c>
      <c r="L43" s="26">
        <f t="shared" si="6"/>
        <v>888.16666666666663</v>
      </c>
      <c r="M43" s="45">
        <f t="shared" si="24"/>
        <v>15</v>
      </c>
      <c r="N43" s="26">
        <f t="shared" si="7"/>
        <v>19.126196384260901</v>
      </c>
      <c r="O43" s="26">
        <f t="shared" si="8"/>
        <v>964</v>
      </c>
      <c r="P43" s="45">
        <f t="shared" si="25"/>
        <v>14</v>
      </c>
      <c r="Q43" s="26">
        <f t="shared" si="9"/>
        <v>28.689294576391351</v>
      </c>
      <c r="R43" s="26">
        <f t="shared" si="10"/>
        <v>1120</v>
      </c>
      <c r="S43" s="45">
        <f t="shared" si="26"/>
        <v>23</v>
      </c>
      <c r="T43" s="26">
        <f t="shared" si="11"/>
        <v>23.690402339595884</v>
      </c>
      <c r="U43" s="26">
        <f t="shared" si="12"/>
        <v>894</v>
      </c>
      <c r="V43" s="45">
        <f t="shared" si="27"/>
        <v>16</v>
      </c>
      <c r="W43" s="26" t="str">
        <f t="shared" si="13"/>
        <v/>
      </c>
      <c r="X43" s="26" t="str">
        <f t="shared" si="14"/>
        <v/>
      </c>
      <c r="Y43" s="13" t="str">
        <f t="shared" si="28"/>
        <v/>
      </c>
      <c r="AB43" s="17">
        <v>0.66666666666666496</v>
      </c>
      <c r="AC43" s="28"/>
      <c r="AD43" s="28">
        <v>7.5268817204301078E-2</v>
      </c>
      <c r="AE43" s="28">
        <v>9.3001841620626149E-2</v>
      </c>
      <c r="AF43" s="28">
        <v>8.5603112840466927E-2</v>
      </c>
      <c r="AG43" s="28">
        <v>9.6845194424064557E-2</v>
      </c>
      <c r="AH43" s="28">
        <v>8.8259109311740885E-2</v>
      </c>
      <c r="AI43" s="28"/>
      <c r="AK43" s="17">
        <v>0.66666666666666496</v>
      </c>
      <c r="AL43" s="47"/>
      <c r="AM43" s="47">
        <v>914.25</v>
      </c>
      <c r="AN43" s="47">
        <v>888.16666666666663</v>
      </c>
      <c r="AO43" s="47">
        <v>964</v>
      </c>
      <c r="AP43" s="47">
        <v>1120</v>
      </c>
      <c r="AQ43" s="47">
        <v>894</v>
      </c>
      <c r="AR43" s="47"/>
      <c r="AV43" s="37">
        <v>0.66666666666666596</v>
      </c>
      <c r="AW43" s="34" t="str">
        <f t="shared" si="15"/>
        <v/>
      </c>
      <c r="AX43" s="34">
        <f t="shared" si="16"/>
        <v>15.214019851116626</v>
      </c>
      <c r="AY43" s="34">
        <f t="shared" si="17"/>
        <v>21.951657213753986</v>
      </c>
      <c r="AZ43" s="34">
        <f t="shared" si="18"/>
        <v>19.126196384260901</v>
      </c>
      <c r="BA43" s="34">
        <f t="shared" si="19"/>
        <v>28.689294576391351</v>
      </c>
      <c r="BB43" s="34">
        <f t="shared" si="20"/>
        <v>23.690402339595884</v>
      </c>
      <c r="BC43" s="35" t="str">
        <f t="shared" si="21"/>
        <v/>
      </c>
    </row>
    <row r="44" spans="4:55" hidden="1" x14ac:dyDescent="0.2">
      <c r="D44" s="17">
        <v>0.687499999999998</v>
      </c>
      <c r="E44" s="26" t="str">
        <f t="shared" si="1"/>
        <v/>
      </c>
      <c r="F44" s="26" t="str">
        <f t="shared" si="2"/>
        <v/>
      </c>
      <c r="G44" s="45" t="str">
        <f t="shared" si="22"/>
        <v/>
      </c>
      <c r="H44" s="26" t="str">
        <f t="shared" si="3"/>
        <v/>
      </c>
      <c r="I44" s="26" t="str">
        <f t="shared" si="4"/>
        <v/>
      </c>
      <c r="J44" s="45" t="str">
        <f t="shared" si="23"/>
        <v/>
      </c>
      <c r="K44" s="26" t="str">
        <f t="shared" si="5"/>
        <v/>
      </c>
      <c r="L44" s="26" t="str">
        <f t="shared" si="6"/>
        <v/>
      </c>
      <c r="M44" s="45" t="str">
        <f t="shared" si="24"/>
        <v/>
      </c>
      <c r="N44" s="26" t="str">
        <f t="shared" si="7"/>
        <v/>
      </c>
      <c r="O44" s="26" t="str">
        <f t="shared" si="8"/>
        <v/>
      </c>
      <c r="P44" s="45" t="str">
        <f t="shared" si="25"/>
        <v/>
      </c>
      <c r="Q44" s="26" t="str">
        <f t="shared" si="9"/>
        <v/>
      </c>
      <c r="R44" s="26" t="str">
        <f t="shared" si="10"/>
        <v/>
      </c>
      <c r="S44" s="45" t="str">
        <f t="shared" si="26"/>
        <v/>
      </c>
      <c r="T44" s="26" t="str">
        <f t="shared" si="11"/>
        <v/>
      </c>
      <c r="U44" s="26" t="str">
        <f t="shared" si="12"/>
        <v/>
      </c>
      <c r="V44" s="45" t="str">
        <f t="shared" si="27"/>
        <v/>
      </c>
      <c r="W44" s="26" t="str">
        <f t="shared" si="13"/>
        <v/>
      </c>
      <c r="X44" s="26" t="str">
        <f t="shared" si="14"/>
        <v/>
      </c>
      <c r="Y44" s="13" t="str">
        <f t="shared" si="28"/>
        <v/>
      </c>
      <c r="AB44" s="17">
        <v>0.687499999999998</v>
      </c>
      <c r="AC44" s="28"/>
      <c r="AD44" s="28">
        <v>0</v>
      </c>
      <c r="AE44" s="28">
        <v>0</v>
      </c>
      <c r="AF44" s="28">
        <v>0</v>
      </c>
      <c r="AG44" s="28">
        <v>0</v>
      </c>
      <c r="AH44" s="28">
        <v>0</v>
      </c>
      <c r="AI44" s="28"/>
      <c r="AK44" s="17">
        <v>0.687499999999998</v>
      </c>
      <c r="AL44" s="47"/>
      <c r="AM44" s="47"/>
      <c r="AN44" s="47"/>
      <c r="AO44" s="47"/>
      <c r="AP44" s="47"/>
      <c r="AQ44" s="47"/>
      <c r="AR44" s="47"/>
      <c r="AV44" s="37">
        <v>0.6875</v>
      </c>
      <c r="AW44" s="34" t="str">
        <f t="shared" si="15"/>
        <v/>
      </c>
      <c r="AX44" s="34" t="str">
        <f t="shared" si="16"/>
        <v/>
      </c>
      <c r="AY44" s="34" t="str">
        <f t="shared" si="17"/>
        <v/>
      </c>
      <c r="AZ44" s="34" t="str">
        <f t="shared" si="18"/>
        <v/>
      </c>
      <c r="BA44" s="34" t="str">
        <f t="shared" si="19"/>
        <v/>
      </c>
      <c r="BB44" s="34" t="str">
        <f t="shared" si="20"/>
        <v/>
      </c>
      <c r="BC44" s="35" t="str">
        <f t="shared" si="21"/>
        <v/>
      </c>
    </row>
    <row r="45" spans="4:55" ht="13.5" thickBot="1" x14ac:dyDescent="0.25">
      <c r="D45" s="17">
        <v>0.70833333333333104</v>
      </c>
      <c r="E45" s="26" t="str">
        <f t="shared" si="1"/>
        <v/>
      </c>
      <c r="F45" s="26" t="str">
        <f t="shared" si="2"/>
        <v/>
      </c>
      <c r="G45" s="45" t="str">
        <f t="shared" si="22"/>
        <v/>
      </c>
      <c r="H45" s="26">
        <f t="shared" si="3"/>
        <v>0.434686281460475</v>
      </c>
      <c r="I45" s="26" t="str">
        <f t="shared" si="4"/>
        <v/>
      </c>
      <c r="J45" s="45" t="str">
        <f t="shared" si="23"/>
        <v/>
      </c>
      <c r="K45" s="26" t="str">
        <f t="shared" si="5"/>
        <v/>
      </c>
      <c r="L45" s="26">
        <f t="shared" si="6"/>
        <v>480</v>
      </c>
      <c r="M45" s="45" t="str">
        <f t="shared" si="24"/>
        <v/>
      </c>
      <c r="N45" s="26">
        <f t="shared" si="7"/>
        <v>0.2173431407302375</v>
      </c>
      <c r="O45" s="26">
        <f t="shared" si="8"/>
        <v>750</v>
      </c>
      <c r="P45" s="45">
        <f t="shared" si="25"/>
        <v>2</v>
      </c>
      <c r="Q45" s="26" t="str">
        <f t="shared" si="9"/>
        <v/>
      </c>
      <c r="R45" s="26">
        <f t="shared" si="10"/>
        <v>780</v>
      </c>
      <c r="S45" s="45" t="str">
        <f t="shared" si="26"/>
        <v/>
      </c>
      <c r="T45" s="26" t="str">
        <f t="shared" si="11"/>
        <v/>
      </c>
      <c r="U45" s="26">
        <f t="shared" si="12"/>
        <v>360</v>
      </c>
      <c r="V45" s="45" t="str">
        <f t="shared" si="27"/>
        <v/>
      </c>
      <c r="W45" s="26" t="str">
        <f t="shared" si="13"/>
        <v/>
      </c>
      <c r="X45" s="26" t="str">
        <f t="shared" si="14"/>
        <v/>
      </c>
      <c r="Y45" s="13" t="str">
        <f t="shared" si="28"/>
        <v/>
      </c>
      <c r="AB45" s="17">
        <v>0.70833333333333104</v>
      </c>
      <c r="AC45" s="28"/>
      <c r="AD45" s="28">
        <v>2.1505376344086021E-3</v>
      </c>
      <c r="AE45" s="28">
        <v>0</v>
      </c>
      <c r="AF45" s="28">
        <v>9.727626459143969E-4</v>
      </c>
      <c r="AG45" s="28">
        <v>0</v>
      </c>
      <c r="AH45" s="28">
        <v>0</v>
      </c>
      <c r="AI45" s="28"/>
      <c r="AK45" s="17">
        <v>0.70833333333333104</v>
      </c>
      <c r="AL45" s="47"/>
      <c r="AM45" s="47"/>
      <c r="AN45" s="47">
        <v>480</v>
      </c>
      <c r="AO45" s="47">
        <v>750</v>
      </c>
      <c r="AP45" s="47">
        <v>780</v>
      </c>
      <c r="AQ45" s="47">
        <v>360</v>
      </c>
      <c r="AR45" s="47"/>
      <c r="AV45" s="37">
        <v>0.70833333333333304</v>
      </c>
      <c r="AW45" s="34" t="str">
        <f t="shared" si="15"/>
        <v/>
      </c>
      <c r="AX45" s="34">
        <f t="shared" si="16"/>
        <v>0.434686281460475</v>
      </c>
      <c r="AY45" s="34" t="str">
        <f t="shared" si="17"/>
        <v/>
      </c>
      <c r="AZ45" s="34">
        <f t="shared" si="18"/>
        <v>0.2173431407302375</v>
      </c>
      <c r="BA45" s="34" t="str">
        <f t="shared" si="19"/>
        <v/>
      </c>
      <c r="BB45" s="34" t="str">
        <f t="shared" si="20"/>
        <v/>
      </c>
      <c r="BC45" s="35" t="str">
        <f t="shared" si="21"/>
        <v/>
      </c>
    </row>
    <row r="46" spans="4:55" hidden="1" x14ac:dyDescent="0.2">
      <c r="D46" s="17">
        <v>0.72916666666666397</v>
      </c>
      <c r="E46" s="26" t="str">
        <f t="shared" si="1"/>
        <v/>
      </c>
      <c r="F46" s="26" t="str">
        <f t="shared" si="2"/>
        <v/>
      </c>
      <c r="G46" s="45" t="str">
        <f t="shared" si="22"/>
        <v/>
      </c>
      <c r="H46" s="26" t="str">
        <f t="shared" si="3"/>
        <v/>
      </c>
      <c r="I46" s="26" t="str">
        <f t="shared" si="4"/>
        <v/>
      </c>
      <c r="J46" s="45" t="str">
        <f t="shared" si="23"/>
        <v/>
      </c>
      <c r="K46" s="26" t="str">
        <f t="shared" si="5"/>
        <v/>
      </c>
      <c r="L46" s="26" t="str">
        <f t="shared" si="6"/>
        <v/>
      </c>
      <c r="M46" s="45" t="str">
        <f t="shared" si="24"/>
        <v/>
      </c>
      <c r="N46" s="26" t="str">
        <f t="shared" si="7"/>
        <v/>
      </c>
      <c r="O46" s="26" t="str">
        <f t="shared" si="8"/>
        <v/>
      </c>
      <c r="P46" s="45" t="str">
        <f t="shared" si="25"/>
        <v/>
      </c>
      <c r="Q46" s="26" t="str">
        <f t="shared" si="9"/>
        <v/>
      </c>
      <c r="R46" s="26" t="str">
        <f t="shared" si="10"/>
        <v/>
      </c>
      <c r="S46" s="45" t="str">
        <f t="shared" si="26"/>
        <v/>
      </c>
      <c r="T46" s="26" t="str">
        <f t="shared" si="11"/>
        <v/>
      </c>
      <c r="U46" s="26" t="str">
        <f t="shared" si="12"/>
        <v/>
      </c>
      <c r="V46" s="45" t="str">
        <f t="shared" si="27"/>
        <v/>
      </c>
      <c r="W46" s="26" t="str">
        <f t="shared" si="13"/>
        <v/>
      </c>
      <c r="X46" s="26" t="str">
        <f t="shared" si="14"/>
        <v/>
      </c>
      <c r="Y46" s="13" t="str">
        <f t="shared" si="28"/>
        <v/>
      </c>
      <c r="AB46" s="17">
        <v>0.72916666666666397</v>
      </c>
      <c r="AC46" s="28"/>
      <c r="AD46" s="28"/>
      <c r="AE46" s="28"/>
      <c r="AF46" s="28"/>
      <c r="AG46" s="28"/>
      <c r="AH46" s="28"/>
      <c r="AI46" s="28"/>
      <c r="AK46" s="17">
        <v>0.72916666666666397</v>
      </c>
      <c r="AL46" s="47"/>
      <c r="AM46" s="47"/>
      <c r="AN46" s="47"/>
      <c r="AO46" s="47"/>
      <c r="AP46" s="47"/>
      <c r="AQ46" s="47"/>
      <c r="AR46" s="47"/>
      <c r="AV46" s="37">
        <v>0.72916666666666596</v>
      </c>
      <c r="AW46" s="34" t="str">
        <f t="shared" si="15"/>
        <v/>
      </c>
      <c r="AX46" s="34" t="str">
        <f t="shared" si="16"/>
        <v/>
      </c>
      <c r="AY46" s="34" t="str">
        <f t="shared" si="17"/>
        <v/>
      </c>
      <c r="AZ46" s="34" t="str">
        <f t="shared" si="18"/>
        <v/>
      </c>
      <c r="BA46" s="34" t="str">
        <f t="shared" si="19"/>
        <v/>
      </c>
      <c r="BB46" s="34" t="str">
        <f t="shared" si="20"/>
        <v/>
      </c>
      <c r="BC46" s="35" t="str">
        <f t="shared" si="21"/>
        <v/>
      </c>
    </row>
    <row r="47" spans="4:55" hidden="1" x14ac:dyDescent="0.2">
      <c r="D47" s="17">
        <v>0.749999999999997</v>
      </c>
      <c r="E47" s="26" t="str">
        <f t="shared" si="1"/>
        <v/>
      </c>
      <c r="F47" s="26" t="str">
        <f t="shared" si="2"/>
        <v/>
      </c>
      <c r="G47" s="45" t="str">
        <f t="shared" si="22"/>
        <v/>
      </c>
      <c r="H47" s="26" t="str">
        <f t="shared" si="3"/>
        <v/>
      </c>
      <c r="I47" s="26" t="str">
        <f t="shared" si="4"/>
        <v/>
      </c>
      <c r="J47" s="45" t="str">
        <f t="shared" si="23"/>
        <v/>
      </c>
      <c r="K47" s="26" t="str">
        <f t="shared" si="5"/>
        <v/>
      </c>
      <c r="L47" s="26" t="str">
        <f t="shared" si="6"/>
        <v/>
      </c>
      <c r="M47" s="45" t="str">
        <f t="shared" si="24"/>
        <v/>
      </c>
      <c r="N47" s="26" t="str">
        <f t="shared" si="7"/>
        <v/>
      </c>
      <c r="O47" s="26" t="str">
        <f t="shared" si="8"/>
        <v/>
      </c>
      <c r="P47" s="45" t="str">
        <f t="shared" si="25"/>
        <v/>
      </c>
      <c r="Q47" s="26" t="str">
        <f t="shared" si="9"/>
        <v/>
      </c>
      <c r="R47" s="26" t="str">
        <f t="shared" si="10"/>
        <v/>
      </c>
      <c r="S47" s="45" t="str">
        <f t="shared" si="26"/>
        <v/>
      </c>
      <c r="T47" s="26" t="str">
        <f t="shared" si="11"/>
        <v/>
      </c>
      <c r="U47" s="26" t="str">
        <f t="shared" si="12"/>
        <v/>
      </c>
      <c r="V47" s="45" t="str">
        <f t="shared" si="27"/>
        <v/>
      </c>
      <c r="W47" s="26" t="str">
        <f t="shared" si="13"/>
        <v/>
      </c>
      <c r="X47" s="26" t="str">
        <f t="shared" si="14"/>
        <v/>
      </c>
      <c r="Y47" s="13" t="str">
        <f t="shared" si="28"/>
        <v/>
      </c>
      <c r="AB47" s="17">
        <v>0.749999999999997</v>
      </c>
      <c r="AC47" s="28"/>
      <c r="AD47" s="28"/>
      <c r="AE47" s="28"/>
      <c r="AF47" s="28"/>
      <c r="AG47" s="28"/>
      <c r="AH47" s="28"/>
      <c r="AI47" s="28"/>
      <c r="AK47" s="17">
        <v>0.749999999999997</v>
      </c>
      <c r="AL47" s="47"/>
      <c r="AM47" s="47"/>
      <c r="AN47" s="47"/>
      <c r="AO47" s="47"/>
      <c r="AP47" s="47"/>
      <c r="AQ47" s="47"/>
      <c r="AR47" s="47"/>
      <c r="AV47" s="37">
        <v>0.75</v>
      </c>
      <c r="AW47" s="34" t="str">
        <f t="shared" si="15"/>
        <v/>
      </c>
      <c r="AX47" s="34" t="str">
        <f t="shared" si="16"/>
        <v/>
      </c>
      <c r="AY47" s="34" t="str">
        <f t="shared" si="17"/>
        <v/>
      </c>
      <c r="AZ47" s="34" t="str">
        <f t="shared" si="18"/>
        <v/>
      </c>
      <c r="BA47" s="34" t="str">
        <f t="shared" si="19"/>
        <v/>
      </c>
      <c r="BB47" s="34" t="str">
        <f t="shared" si="20"/>
        <v/>
      </c>
      <c r="BC47" s="35" t="str">
        <f t="shared" si="21"/>
        <v/>
      </c>
    </row>
    <row r="48" spans="4:55" hidden="1" x14ac:dyDescent="0.2">
      <c r="D48" s="17">
        <v>0.77083333333333004</v>
      </c>
      <c r="E48" s="26" t="str">
        <f t="shared" si="1"/>
        <v/>
      </c>
      <c r="F48" s="26" t="str">
        <f t="shared" si="2"/>
        <v/>
      </c>
      <c r="G48" s="45" t="str">
        <f t="shared" si="22"/>
        <v/>
      </c>
      <c r="H48" s="26" t="str">
        <f t="shared" si="3"/>
        <v/>
      </c>
      <c r="I48" s="26" t="str">
        <f t="shared" si="4"/>
        <v/>
      </c>
      <c r="J48" s="45" t="str">
        <f t="shared" si="23"/>
        <v/>
      </c>
      <c r="K48" s="26" t="str">
        <f t="shared" si="5"/>
        <v/>
      </c>
      <c r="L48" s="26" t="str">
        <f t="shared" si="6"/>
        <v/>
      </c>
      <c r="M48" s="45" t="str">
        <f t="shared" si="24"/>
        <v/>
      </c>
      <c r="N48" s="26" t="str">
        <f t="shared" si="7"/>
        <v/>
      </c>
      <c r="O48" s="26" t="str">
        <f t="shared" si="8"/>
        <v/>
      </c>
      <c r="P48" s="45" t="str">
        <f t="shared" si="25"/>
        <v/>
      </c>
      <c r="Q48" s="26" t="str">
        <f t="shared" si="9"/>
        <v/>
      </c>
      <c r="R48" s="26" t="str">
        <f t="shared" si="10"/>
        <v/>
      </c>
      <c r="S48" s="45" t="str">
        <f t="shared" si="26"/>
        <v/>
      </c>
      <c r="T48" s="26" t="str">
        <f t="shared" si="11"/>
        <v/>
      </c>
      <c r="U48" s="26" t="str">
        <f t="shared" si="12"/>
        <v/>
      </c>
      <c r="V48" s="45" t="str">
        <f t="shared" si="27"/>
        <v/>
      </c>
      <c r="W48" s="26" t="str">
        <f t="shared" si="13"/>
        <v/>
      </c>
      <c r="X48" s="26" t="str">
        <f t="shared" si="14"/>
        <v/>
      </c>
      <c r="Y48" s="13" t="str">
        <f t="shared" si="28"/>
        <v/>
      </c>
      <c r="AB48" s="17">
        <v>0.77083333333333004</v>
      </c>
      <c r="AC48" s="28"/>
      <c r="AD48" s="28"/>
      <c r="AE48" s="28"/>
      <c r="AF48" s="28"/>
      <c r="AG48" s="28"/>
      <c r="AH48" s="28"/>
      <c r="AI48" s="28"/>
      <c r="AK48" s="17">
        <v>0.77083333333333004</v>
      </c>
      <c r="AL48" s="47"/>
      <c r="AM48" s="47"/>
      <c r="AN48" s="47"/>
      <c r="AO48" s="47"/>
      <c r="AP48" s="47"/>
      <c r="AQ48" s="47"/>
      <c r="AR48" s="47"/>
      <c r="AV48" s="37">
        <v>0.77083333333333304</v>
      </c>
      <c r="AW48" s="34" t="str">
        <f t="shared" si="15"/>
        <v/>
      </c>
      <c r="AX48" s="34" t="str">
        <f t="shared" si="16"/>
        <v/>
      </c>
      <c r="AY48" s="34" t="str">
        <f t="shared" si="17"/>
        <v/>
      </c>
      <c r="AZ48" s="34" t="str">
        <f t="shared" si="18"/>
        <v/>
      </c>
      <c r="BA48" s="34" t="str">
        <f t="shared" si="19"/>
        <v/>
      </c>
      <c r="BB48" s="34" t="str">
        <f t="shared" si="20"/>
        <v/>
      </c>
      <c r="BC48" s="35" t="str">
        <f t="shared" si="21"/>
        <v/>
      </c>
    </row>
    <row r="49" spans="4:55" hidden="1" x14ac:dyDescent="0.2">
      <c r="D49" s="17">
        <v>0.79166666666666297</v>
      </c>
      <c r="E49" s="26" t="str">
        <f t="shared" si="1"/>
        <v/>
      </c>
      <c r="F49" s="26" t="str">
        <f t="shared" si="2"/>
        <v/>
      </c>
      <c r="G49" s="45" t="str">
        <f t="shared" si="22"/>
        <v/>
      </c>
      <c r="H49" s="26" t="str">
        <f t="shared" si="3"/>
        <v/>
      </c>
      <c r="I49" s="26" t="str">
        <f t="shared" si="4"/>
        <v/>
      </c>
      <c r="J49" s="45" t="str">
        <f t="shared" si="23"/>
        <v/>
      </c>
      <c r="K49" s="26" t="str">
        <f t="shared" si="5"/>
        <v/>
      </c>
      <c r="L49" s="26" t="str">
        <f t="shared" si="6"/>
        <v/>
      </c>
      <c r="M49" s="45" t="str">
        <f t="shared" si="24"/>
        <v/>
      </c>
      <c r="N49" s="26" t="str">
        <f t="shared" si="7"/>
        <v/>
      </c>
      <c r="O49" s="26" t="str">
        <f t="shared" si="8"/>
        <v/>
      </c>
      <c r="P49" s="45" t="str">
        <f t="shared" si="25"/>
        <v/>
      </c>
      <c r="Q49" s="26" t="str">
        <f t="shared" si="9"/>
        <v/>
      </c>
      <c r="R49" s="26" t="str">
        <f t="shared" si="10"/>
        <v/>
      </c>
      <c r="S49" s="45" t="str">
        <f t="shared" si="26"/>
        <v/>
      </c>
      <c r="T49" s="26" t="str">
        <f t="shared" si="11"/>
        <v/>
      </c>
      <c r="U49" s="26" t="str">
        <f t="shared" si="12"/>
        <v/>
      </c>
      <c r="V49" s="45" t="str">
        <f t="shared" si="27"/>
        <v/>
      </c>
      <c r="W49" s="26" t="str">
        <f t="shared" si="13"/>
        <v/>
      </c>
      <c r="X49" s="26" t="str">
        <f t="shared" si="14"/>
        <v/>
      </c>
      <c r="Y49" s="13" t="str">
        <f t="shared" si="28"/>
        <v/>
      </c>
      <c r="AB49" s="17">
        <v>0.79166666666666297</v>
      </c>
      <c r="AC49" s="28"/>
      <c r="AD49" s="28"/>
      <c r="AE49" s="28"/>
      <c r="AF49" s="28"/>
      <c r="AG49" s="28"/>
      <c r="AH49" s="28"/>
      <c r="AI49" s="28"/>
      <c r="AK49" s="17">
        <v>0.79166666666666297</v>
      </c>
      <c r="AL49" s="47"/>
      <c r="AM49" s="47"/>
      <c r="AN49" s="47"/>
      <c r="AO49" s="47"/>
      <c r="AP49" s="47"/>
      <c r="AQ49" s="47"/>
      <c r="AR49" s="47"/>
      <c r="AV49" s="37">
        <v>0.79166666666666596</v>
      </c>
      <c r="AW49" s="34" t="str">
        <f t="shared" si="15"/>
        <v/>
      </c>
      <c r="AX49" s="34" t="str">
        <f t="shared" si="16"/>
        <v/>
      </c>
      <c r="AY49" s="34" t="str">
        <f t="shared" si="17"/>
        <v/>
      </c>
      <c r="AZ49" s="34" t="str">
        <f t="shared" si="18"/>
        <v/>
      </c>
      <c r="BA49" s="34" t="str">
        <f t="shared" si="19"/>
        <v/>
      </c>
      <c r="BB49" s="34" t="str">
        <f t="shared" si="20"/>
        <v/>
      </c>
      <c r="BC49" s="35" t="str">
        <f t="shared" si="21"/>
        <v/>
      </c>
    </row>
    <row r="50" spans="4:55" hidden="1" x14ac:dyDescent="0.2">
      <c r="D50" s="17">
        <v>0.812499999999996</v>
      </c>
      <c r="E50" s="26" t="str">
        <f t="shared" si="1"/>
        <v/>
      </c>
      <c r="F50" s="26" t="str">
        <f t="shared" si="2"/>
        <v/>
      </c>
      <c r="G50" s="45" t="str">
        <f t="shared" si="22"/>
        <v/>
      </c>
      <c r="H50" s="26" t="str">
        <f t="shared" si="3"/>
        <v/>
      </c>
      <c r="I50" s="26" t="str">
        <f t="shared" si="4"/>
        <v/>
      </c>
      <c r="J50" s="45" t="str">
        <f t="shared" si="23"/>
        <v/>
      </c>
      <c r="K50" s="26" t="str">
        <f t="shared" si="5"/>
        <v/>
      </c>
      <c r="L50" s="26" t="str">
        <f t="shared" si="6"/>
        <v/>
      </c>
      <c r="M50" s="45" t="str">
        <f t="shared" si="24"/>
        <v/>
      </c>
      <c r="N50" s="26" t="str">
        <f t="shared" si="7"/>
        <v/>
      </c>
      <c r="O50" s="26" t="str">
        <f t="shared" si="8"/>
        <v/>
      </c>
      <c r="P50" s="45" t="str">
        <f t="shared" si="25"/>
        <v/>
      </c>
      <c r="Q50" s="26" t="str">
        <f t="shared" si="9"/>
        <v/>
      </c>
      <c r="R50" s="26" t="str">
        <f t="shared" si="10"/>
        <v/>
      </c>
      <c r="S50" s="45" t="str">
        <f t="shared" si="26"/>
        <v/>
      </c>
      <c r="T50" s="26" t="str">
        <f t="shared" si="11"/>
        <v/>
      </c>
      <c r="U50" s="26" t="str">
        <f t="shared" si="12"/>
        <v/>
      </c>
      <c r="V50" s="45" t="str">
        <f t="shared" si="27"/>
        <v/>
      </c>
      <c r="W50" s="26" t="str">
        <f t="shared" si="13"/>
        <v/>
      </c>
      <c r="X50" s="26" t="str">
        <f t="shared" si="14"/>
        <v/>
      </c>
      <c r="Y50" s="13" t="str">
        <f t="shared" si="28"/>
        <v/>
      </c>
      <c r="AB50" s="17">
        <v>0.812499999999996</v>
      </c>
      <c r="AC50" s="28"/>
      <c r="AD50" s="28"/>
      <c r="AE50" s="28"/>
      <c r="AF50" s="28"/>
      <c r="AG50" s="28"/>
      <c r="AH50" s="28"/>
      <c r="AI50" s="28"/>
      <c r="AK50" s="17">
        <v>0.812499999999996</v>
      </c>
      <c r="AL50" s="47"/>
      <c r="AM50" s="47"/>
      <c r="AN50" s="47"/>
      <c r="AO50" s="47"/>
      <c r="AP50" s="47"/>
      <c r="AQ50" s="47"/>
      <c r="AR50" s="47"/>
      <c r="AV50" s="37">
        <v>0.8125</v>
      </c>
      <c r="AW50" s="34" t="str">
        <f t="shared" si="15"/>
        <v/>
      </c>
      <c r="AX50" s="34" t="str">
        <f t="shared" si="16"/>
        <v/>
      </c>
      <c r="AY50" s="34" t="str">
        <f t="shared" si="17"/>
        <v/>
      </c>
      <c r="AZ50" s="34" t="str">
        <f t="shared" si="18"/>
        <v/>
      </c>
      <c r="BA50" s="34" t="str">
        <f t="shared" si="19"/>
        <v/>
      </c>
      <c r="BB50" s="34" t="str">
        <f t="shared" si="20"/>
        <v/>
      </c>
      <c r="BC50" s="35" t="str">
        <f t="shared" si="21"/>
        <v/>
      </c>
    </row>
    <row r="51" spans="4:55" hidden="1" x14ac:dyDescent="0.2">
      <c r="D51" s="17">
        <v>0.83333333333332904</v>
      </c>
      <c r="E51" s="26" t="str">
        <f t="shared" si="1"/>
        <v/>
      </c>
      <c r="F51" s="26" t="str">
        <f t="shared" si="2"/>
        <v/>
      </c>
      <c r="G51" s="45" t="str">
        <f t="shared" si="22"/>
        <v/>
      </c>
      <c r="H51" s="26" t="str">
        <f t="shared" si="3"/>
        <v/>
      </c>
      <c r="I51" s="26" t="str">
        <f t="shared" si="4"/>
        <v/>
      </c>
      <c r="J51" s="45" t="str">
        <f t="shared" si="23"/>
        <v/>
      </c>
      <c r="K51" s="26" t="str">
        <f t="shared" si="5"/>
        <v/>
      </c>
      <c r="L51" s="26" t="str">
        <f t="shared" si="6"/>
        <v/>
      </c>
      <c r="M51" s="45" t="str">
        <f t="shared" si="24"/>
        <v/>
      </c>
      <c r="N51" s="26" t="str">
        <f t="shared" si="7"/>
        <v/>
      </c>
      <c r="O51" s="26" t="str">
        <f t="shared" si="8"/>
        <v/>
      </c>
      <c r="P51" s="45" t="str">
        <f t="shared" si="25"/>
        <v/>
      </c>
      <c r="Q51" s="26" t="str">
        <f t="shared" si="9"/>
        <v/>
      </c>
      <c r="R51" s="26" t="str">
        <f t="shared" si="10"/>
        <v/>
      </c>
      <c r="S51" s="45" t="str">
        <f t="shared" si="26"/>
        <v/>
      </c>
      <c r="T51" s="26" t="str">
        <f t="shared" si="11"/>
        <v/>
      </c>
      <c r="U51" s="26" t="str">
        <f t="shared" si="12"/>
        <v/>
      </c>
      <c r="V51" s="45" t="str">
        <f t="shared" si="27"/>
        <v/>
      </c>
      <c r="W51" s="26" t="str">
        <f t="shared" si="13"/>
        <v/>
      </c>
      <c r="X51" s="26" t="str">
        <f t="shared" si="14"/>
        <v/>
      </c>
      <c r="Y51" s="13" t="str">
        <f t="shared" si="28"/>
        <v/>
      </c>
      <c r="AB51" s="17">
        <v>0.83333333333332904</v>
      </c>
      <c r="AC51" s="28"/>
      <c r="AD51" s="28"/>
      <c r="AE51" s="28"/>
      <c r="AF51" s="28"/>
      <c r="AG51" s="28"/>
      <c r="AH51" s="28"/>
      <c r="AI51" s="28"/>
      <c r="AK51" s="17">
        <v>0.83333333333332904</v>
      </c>
      <c r="AL51" s="47"/>
      <c r="AM51" s="47"/>
      <c r="AN51" s="47"/>
      <c r="AO51" s="47"/>
      <c r="AP51" s="47"/>
      <c r="AQ51" s="47"/>
      <c r="AR51" s="47"/>
      <c r="AV51" s="37">
        <v>0.83333333333333304</v>
      </c>
      <c r="AW51" s="34" t="str">
        <f t="shared" si="15"/>
        <v/>
      </c>
      <c r="AX51" s="34" t="str">
        <f t="shared" si="16"/>
        <v/>
      </c>
      <c r="AY51" s="34" t="str">
        <f t="shared" si="17"/>
        <v/>
      </c>
      <c r="AZ51" s="34" t="str">
        <f t="shared" si="18"/>
        <v/>
      </c>
      <c r="BA51" s="34" t="str">
        <f t="shared" si="19"/>
        <v/>
      </c>
      <c r="BB51" s="34" t="str">
        <f t="shared" si="20"/>
        <v/>
      </c>
      <c r="BC51" s="35" t="str">
        <f t="shared" si="21"/>
        <v/>
      </c>
    </row>
    <row r="52" spans="4:55" hidden="1" x14ac:dyDescent="0.2">
      <c r="D52" s="17">
        <v>0.85416666666666297</v>
      </c>
      <c r="E52" s="26" t="str">
        <f t="shared" si="1"/>
        <v/>
      </c>
      <c r="F52" s="26" t="str">
        <f t="shared" si="2"/>
        <v/>
      </c>
      <c r="G52" s="45" t="str">
        <f t="shared" si="22"/>
        <v/>
      </c>
      <c r="H52" s="26" t="str">
        <f t="shared" si="3"/>
        <v/>
      </c>
      <c r="I52" s="26" t="str">
        <f t="shared" si="4"/>
        <v/>
      </c>
      <c r="J52" s="45" t="str">
        <f t="shared" si="23"/>
        <v/>
      </c>
      <c r="K52" s="26" t="str">
        <f t="shared" si="5"/>
        <v/>
      </c>
      <c r="L52" s="26" t="str">
        <f t="shared" si="6"/>
        <v/>
      </c>
      <c r="M52" s="45" t="str">
        <f t="shared" si="24"/>
        <v/>
      </c>
      <c r="N52" s="26" t="str">
        <f t="shared" si="7"/>
        <v/>
      </c>
      <c r="O52" s="26" t="str">
        <f t="shared" si="8"/>
        <v/>
      </c>
      <c r="P52" s="45" t="str">
        <f t="shared" si="25"/>
        <v/>
      </c>
      <c r="Q52" s="26" t="str">
        <f t="shared" si="9"/>
        <v/>
      </c>
      <c r="R52" s="26" t="str">
        <f t="shared" si="10"/>
        <v/>
      </c>
      <c r="S52" s="45" t="str">
        <f t="shared" si="26"/>
        <v/>
      </c>
      <c r="T52" s="26" t="str">
        <f t="shared" si="11"/>
        <v/>
      </c>
      <c r="U52" s="26" t="str">
        <f t="shared" si="12"/>
        <v/>
      </c>
      <c r="V52" s="45" t="str">
        <f t="shared" si="27"/>
        <v/>
      </c>
      <c r="W52" s="26" t="str">
        <f t="shared" si="13"/>
        <v/>
      </c>
      <c r="X52" s="26" t="str">
        <f t="shared" si="14"/>
        <v/>
      </c>
      <c r="Y52" s="13" t="str">
        <f t="shared" si="28"/>
        <v/>
      </c>
      <c r="AB52" s="17">
        <v>0.85416666666666297</v>
      </c>
      <c r="AC52" s="28"/>
      <c r="AD52" s="28"/>
      <c r="AE52" s="28"/>
      <c r="AF52" s="28"/>
      <c r="AG52" s="28"/>
      <c r="AH52" s="28"/>
      <c r="AI52" s="28"/>
      <c r="AK52" s="17">
        <v>0.85416666666666297</v>
      </c>
      <c r="AL52" s="47"/>
      <c r="AM52" s="47"/>
      <c r="AN52" s="47"/>
      <c r="AO52" s="47"/>
      <c r="AP52" s="47"/>
      <c r="AQ52" s="47"/>
      <c r="AR52" s="47"/>
      <c r="AV52" s="37">
        <v>0.85416666666666596</v>
      </c>
      <c r="AW52" s="34" t="str">
        <f t="shared" si="15"/>
        <v/>
      </c>
      <c r="AX52" s="34" t="str">
        <f t="shared" si="16"/>
        <v/>
      </c>
      <c r="AY52" s="34" t="str">
        <f t="shared" si="17"/>
        <v/>
      </c>
      <c r="AZ52" s="34" t="str">
        <f t="shared" si="18"/>
        <v/>
      </c>
      <c r="BA52" s="34" t="str">
        <f t="shared" si="19"/>
        <v/>
      </c>
      <c r="BB52" s="34" t="str">
        <f t="shared" si="20"/>
        <v/>
      </c>
      <c r="BC52" s="35" t="str">
        <f t="shared" si="21"/>
        <v/>
      </c>
    </row>
    <row r="53" spans="4:55" hidden="1" x14ac:dyDescent="0.2">
      <c r="D53" s="17">
        <v>0.874999999999996</v>
      </c>
      <c r="E53" s="26" t="str">
        <f t="shared" si="1"/>
        <v/>
      </c>
      <c r="F53" s="26" t="str">
        <f t="shared" si="2"/>
        <v/>
      </c>
      <c r="G53" s="45" t="str">
        <f t="shared" si="22"/>
        <v/>
      </c>
      <c r="H53" s="26" t="str">
        <f t="shared" si="3"/>
        <v/>
      </c>
      <c r="I53" s="26" t="str">
        <f t="shared" si="4"/>
        <v/>
      </c>
      <c r="J53" s="45" t="str">
        <f t="shared" si="23"/>
        <v/>
      </c>
      <c r="K53" s="26" t="str">
        <f t="shared" si="5"/>
        <v/>
      </c>
      <c r="L53" s="26" t="str">
        <f t="shared" si="6"/>
        <v/>
      </c>
      <c r="M53" s="45" t="str">
        <f t="shared" si="24"/>
        <v/>
      </c>
      <c r="N53" s="26" t="str">
        <f t="shared" si="7"/>
        <v/>
      </c>
      <c r="O53" s="26" t="str">
        <f t="shared" si="8"/>
        <v/>
      </c>
      <c r="P53" s="45" t="str">
        <f t="shared" si="25"/>
        <v/>
      </c>
      <c r="Q53" s="26" t="str">
        <f t="shared" si="9"/>
        <v/>
      </c>
      <c r="R53" s="26" t="str">
        <f t="shared" si="10"/>
        <v/>
      </c>
      <c r="S53" s="45" t="str">
        <f t="shared" si="26"/>
        <v/>
      </c>
      <c r="T53" s="26" t="str">
        <f t="shared" si="11"/>
        <v/>
      </c>
      <c r="U53" s="26" t="str">
        <f t="shared" si="12"/>
        <v/>
      </c>
      <c r="V53" s="45" t="str">
        <f t="shared" si="27"/>
        <v/>
      </c>
      <c r="W53" s="26" t="str">
        <f t="shared" si="13"/>
        <v/>
      </c>
      <c r="X53" s="26" t="str">
        <f t="shared" si="14"/>
        <v/>
      </c>
      <c r="Y53" s="13" t="str">
        <f t="shared" si="28"/>
        <v/>
      </c>
      <c r="AB53" s="17">
        <v>0.874999999999996</v>
      </c>
      <c r="AC53" s="28"/>
      <c r="AD53" s="28"/>
      <c r="AE53" s="28"/>
      <c r="AF53" s="28"/>
      <c r="AG53" s="28"/>
      <c r="AH53" s="28"/>
      <c r="AI53" s="28"/>
      <c r="AK53" s="17">
        <v>0.874999999999996</v>
      </c>
      <c r="AL53" s="47"/>
      <c r="AM53" s="47"/>
      <c r="AN53" s="47"/>
      <c r="AO53" s="47"/>
      <c r="AP53" s="47"/>
      <c r="AQ53" s="47"/>
      <c r="AR53" s="47"/>
      <c r="AV53" s="37">
        <v>0.875</v>
      </c>
      <c r="AW53" s="34" t="str">
        <f t="shared" si="15"/>
        <v/>
      </c>
      <c r="AX53" s="34" t="str">
        <f t="shared" si="16"/>
        <v/>
      </c>
      <c r="AY53" s="34" t="str">
        <f t="shared" si="17"/>
        <v/>
      </c>
      <c r="AZ53" s="34" t="str">
        <f t="shared" si="18"/>
        <v/>
      </c>
      <c r="BA53" s="34" t="str">
        <f t="shared" si="19"/>
        <v/>
      </c>
      <c r="BB53" s="34" t="str">
        <f t="shared" si="20"/>
        <v/>
      </c>
      <c r="BC53" s="35" t="str">
        <f t="shared" si="21"/>
        <v/>
      </c>
    </row>
    <row r="54" spans="4:55" hidden="1" x14ac:dyDescent="0.2">
      <c r="D54" s="17">
        <v>0.89583333333332904</v>
      </c>
      <c r="E54" s="26" t="str">
        <f t="shared" si="1"/>
        <v/>
      </c>
      <c r="F54" s="26" t="str">
        <f t="shared" si="2"/>
        <v/>
      </c>
      <c r="G54" s="45" t="str">
        <f t="shared" si="22"/>
        <v/>
      </c>
      <c r="H54" s="26" t="str">
        <f t="shared" si="3"/>
        <v/>
      </c>
      <c r="I54" s="26" t="str">
        <f t="shared" si="4"/>
        <v/>
      </c>
      <c r="J54" s="45" t="str">
        <f t="shared" si="23"/>
        <v/>
      </c>
      <c r="K54" s="26" t="str">
        <f t="shared" si="5"/>
        <v/>
      </c>
      <c r="L54" s="26" t="str">
        <f t="shared" si="6"/>
        <v/>
      </c>
      <c r="M54" s="45" t="str">
        <f t="shared" si="24"/>
        <v/>
      </c>
      <c r="N54" s="26" t="str">
        <f t="shared" si="7"/>
        <v/>
      </c>
      <c r="O54" s="26" t="str">
        <f t="shared" si="8"/>
        <v/>
      </c>
      <c r="P54" s="45" t="str">
        <f t="shared" si="25"/>
        <v/>
      </c>
      <c r="Q54" s="26" t="str">
        <f t="shared" si="9"/>
        <v/>
      </c>
      <c r="R54" s="26" t="str">
        <f t="shared" si="10"/>
        <v/>
      </c>
      <c r="S54" s="45" t="str">
        <f t="shared" si="26"/>
        <v/>
      </c>
      <c r="T54" s="26" t="str">
        <f t="shared" si="11"/>
        <v/>
      </c>
      <c r="U54" s="26" t="str">
        <f t="shared" si="12"/>
        <v/>
      </c>
      <c r="V54" s="45" t="str">
        <f t="shared" si="27"/>
        <v/>
      </c>
      <c r="W54" s="26" t="str">
        <f t="shared" si="13"/>
        <v/>
      </c>
      <c r="X54" s="26" t="str">
        <f t="shared" si="14"/>
        <v/>
      </c>
      <c r="Y54" s="13" t="str">
        <f t="shared" si="28"/>
        <v/>
      </c>
      <c r="AB54" s="17">
        <v>0.89583333333332904</v>
      </c>
      <c r="AC54" s="28"/>
      <c r="AD54" s="28"/>
      <c r="AE54" s="28"/>
      <c r="AF54" s="28"/>
      <c r="AG54" s="28"/>
      <c r="AH54" s="28"/>
      <c r="AI54" s="28"/>
      <c r="AK54" s="17">
        <v>0.89583333333332904</v>
      </c>
      <c r="AL54" s="47"/>
      <c r="AM54" s="47"/>
      <c r="AN54" s="47"/>
      <c r="AO54" s="47"/>
      <c r="AP54" s="47"/>
      <c r="AQ54" s="47"/>
      <c r="AR54" s="47"/>
      <c r="AV54" s="37">
        <v>0.89583333333333304</v>
      </c>
      <c r="AW54" s="34" t="str">
        <f t="shared" si="15"/>
        <v/>
      </c>
      <c r="AX54" s="34" t="str">
        <f t="shared" si="16"/>
        <v/>
      </c>
      <c r="AY54" s="34" t="str">
        <f t="shared" si="17"/>
        <v/>
      </c>
      <c r="AZ54" s="34" t="str">
        <f t="shared" si="18"/>
        <v/>
      </c>
      <c r="BA54" s="34" t="str">
        <f t="shared" si="19"/>
        <v/>
      </c>
      <c r="BB54" s="34" t="str">
        <f t="shared" si="20"/>
        <v/>
      </c>
      <c r="BC54" s="35" t="str">
        <f t="shared" si="21"/>
        <v/>
      </c>
    </row>
    <row r="55" spans="4:55" hidden="1" x14ac:dyDescent="0.2">
      <c r="D55" s="17">
        <v>0.91666666666666197</v>
      </c>
      <c r="E55" s="26" t="str">
        <f t="shared" si="1"/>
        <v/>
      </c>
      <c r="F55" s="26" t="str">
        <f t="shared" si="2"/>
        <v/>
      </c>
      <c r="G55" s="45" t="str">
        <f t="shared" si="22"/>
        <v/>
      </c>
      <c r="H55" s="26" t="str">
        <f t="shared" si="3"/>
        <v/>
      </c>
      <c r="I55" s="26" t="str">
        <f t="shared" si="4"/>
        <v/>
      </c>
      <c r="J55" s="45" t="str">
        <f t="shared" si="23"/>
        <v/>
      </c>
      <c r="K55" s="26" t="str">
        <f t="shared" si="5"/>
        <v/>
      </c>
      <c r="L55" s="26" t="str">
        <f t="shared" si="6"/>
        <v/>
      </c>
      <c r="M55" s="45" t="str">
        <f t="shared" si="24"/>
        <v/>
      </c>
      <c r="N55" s="26" t="str">
        <f t="shared" si="7"/>
        <v/>
      </c>
      <c r="O55" s="26" t="str">
        <f t="shared" si="8"/>
        <v/>
      </c>
      <c r="P55" s="45" t="str">
        <f t="shared" si="25"/>
        <v/>
      </c>
      <c r="Q55" s="26" t="str">
        <f t="shared" si="9"/>
        <v/>
      </c>
      <c r="R55" s="26" t="str">
        <f t="shared" si="10"/>
        <v/>
      </c>
      <c r="S55" s="45" t="str">
        <f t="shared" si="26"/>
        <v/>
      </c>
      <c r="T55" s="26" t="str">
        <f t="shared" si="11"/>
        <v/>
      </c>
      <c r="U55" s="26" t="str">
        <f t="shared" si="12"/>
        <v/>
      </c>
      <c r="V55" s="45" t="str">
        <f t="shared" si="27"/>
        <v/>
      </c>
      <c r="W55" s="26" t="str">
        <f t="shared" si="13"/>
        <v/>
      </c>
      <c r="X55" s="26" t="str">
        <f t="shared" si="14"/>
        <v/>
      </c>
      <c r="Y55" s="13" t="str">
        <f t="shared" si="28"/>
        <v/>
      </c>
      <c r="AB55" s="17">
        <v>0.91666666666666197</v>
      </c>
      <c r="AC55" s="28"/>
      <c r="AD55" s="28"/>
      <c r="AE55" s="28"/>
      <c r="AF55" s="28"/>
      <c r="AG55" s="28"/>
      <c r="AH55" s="28"/>
      <c r="AI55" s="28"/>
      <c r="AK55" s="17">
        <v>0.91666666666666197</v>
      </c>
      <c r="AL55" s="47"/>
      <c r="AM55" s="47"/>
      <c r="AN55" s="47"/>
      <c r="AO55" s="47"/>
      <c r="AP55" s="47"/>
      <c r="AQ55" s="47"/>
      <c r="AR55" s="47"/>
      <c r="AV55" s="37">
        <v>0.91666666666666596</v>
      </c>
      <c r="AW55" s="34" t="str">
        <f t="shared" si="15"/>
        <v/>
      </c>
      <c r="AX55" s="34" t="str">
        <f t="shared" si="16"/>
        <v/>
      </c>
      <c r="AY55" s="34" t="str">
        <f t="shared" si="17"/>
        <v/>
      </c>
      <c r="AZ55" s="34" t="str">
        <f t="shared" si="18"/>
        <v/>
      </c>
      <c r="BA55" s="34" t="str">
        <f t="shared" si="19"/>
        <v/>
      </c>
      <c r="BB55" s="34" t="str">
        <f t="shared" si="20"/>
        <v/>
      </c>
      <c r="BC55" s="35" t="str">
        <f t="shared" si="21"/>
        <v/>
      </c>
    </row>
    <row r="56" spans="4:55" hidden="1" x14ac:dyDescent="0.2">
      <c r="D56" s="17">
        <v>0.937499999999995</v>
      </c>
      <c r="E56" s="26" t="str">
        <f t="shared" si="1"/>
        <v/>
      </c>
      <c r="F56" s="26" t="str">
        <f t="shared" si="2"/>
        <v/>
      </c>
      <c r="G56" s="45" t="str">
        <f t="shared" si="22"/>
        <v/>
      </c>
      <c r="H56" s="26" t="str">
        <f t="shared" si="3"/>
        <v/>
      </c>
      <c r="I56" s="26" t="str">
        <f t="shared" si="4"/>
        <v/>
      </c>
      <c r="J56" s="45" t="str">
        <f t="shared" si="23"/>
        <v/>
      </c>
      <c r="K56" s="26" t="str">
        <f t="shared" si="5"/>
        <v/>
      </c>
      <c r="L56" s="26" t="str">
        <f t="shared" si="6"/>
        <v/>
      </c>
      <c r="M56" s="45" t="str">
        <f t="shared" si="24"/>
        <v/>
      </c>
      <c r="N56" s="26" t="str">
        <f t="shared" si="7"/>
        <v/>
      </c>
      <c r="O56" s="26" t="str">
        <f t="shared" si="8"/>
        <v/>
      </c>
      <c r="P56" s="45" t="str">
        <f t="shared" si="25"/>
        <v/>
      </c>
      <c r="Q56" s="26" t="str">
        <f t="shared" si="9"/>
        <v/>
      </c>
      <c r="R56" s="26" t="str">
        <f t="shared" si="10"/>
        <v/>
      </c>
      <c r="S56" s="45" t="str">
        <f t="shared" si="26"/>
        <v/>
      </c>
      <c r="T56" s="26" t="str">
        <f t="shared" si="11"/>
        <v/>
      </c>
      <c r="U56" s="26" t="str">
        <f t="shared" si="12"/>
        <v/>
      </c>
      <c r="V56" s="45" t="str">
        <f t="shared" si="27"/>
        <v/>
      </c>
      <c r="W56" s="26" t="str">
        <f t="shared" si="13"/>
        <v/>
      </c>
      <c r="X56" s="26" t="str">
        <f t="shared" si="14"/>
        <v/>
      </c>
      <c r="Y56" s="13" t="str">
        <f t="shared" si="28"/>
        <v/>
      </c>
      <c r="AB56" s="17">
        <v>0.937499999999995</v>
      </c>
      <c r="AC56" s="28"/>
      <c r="AD56" s="28"/>
      <c r="AE56" s="28"/>
      <c r="AF56" s="28"/>
      <c r="AG56" s="28"/>
      <c r="AH56" s="28"/>
      <c r="AI56" s="28"/>
      <c r="AK56" s="17">
        <v>0.937499999999995</v>
      </c>
      <c r="AL56" s="47"/>
      <c r="AM56" s="47"/>
      <c r="AN56" s="47"/>
      <c r="AO56" s="47"/>
      <c r="AP56" s="47"/>
      <c r="AQ56" s="47"/>
      <c r="AR56" s="47"/>
      <c r="AV56" s="37">
        <v>0.9375</v>
      </c>
      <c r="AW56" s="34" t="str">
        <f t="shared" si="15"/>
        <v/>
      </c>
      <c r="AX56" s="34" t="str">
        <f t="shared" si="16"/>
        <v/>
      </c>
      <c r="AY56" s="34" t="str">
        <f t="shared" si="17"/>
        <v/>
      </c>
      <c r="AZ56" s="34" t="str">
        <f t="shared" si="18"/>
        <v/>
      </c>
      <c r="BA56" s="34" t="str">
        <f t="shared" si="19"/>
        <v/>
      </c>
      <c r="BB56" s="34" t="str">
        <f t="shared" si="20"/>
        <v/>
      </c>
      <c r="BC56" s="35" t="str">
        <f t="shared" si="21"/>
        <v/>
      </c>
    </row>
    <row r="57" spans="4:55" hidden="1" x14ac:dyDescent="0.2">
      <c r="D57" s="17">
        <v>0.95833333333332804</v>
      </c>
      <c r="E57" s="26" t="str">
        <f t="shared" si="1"/>
        <v/>
      </c>
      <c r="F57" s="26" t="str">
        <f t="shared" si="2"/>
        <v/>
      </c>
      <c r="G57" s="45" t="str">
        <f t="shared" si="22"/>
        <v/>
      </c>
      <c r="H57" s="26" t="str">
        <f t="shared" si="3"/>
        <v/>
      </c>
      <c r="I57" s="26" t="str">
        <f t="shared" si="4"/>
        <v/>
      </c>
      <c r="J57" s="45" t="str">
        <f t="shared" si="23"/>
        <v/>
      </c>
      <c r="K57" s="26" t="str">
        <f t="shared" si="5"/>
        <v/>
      </c>
      <c r="L57" s="26" t="str">
        <f t="shared" si="6"/>
        <v/>
      </c>
      <c r="M57" s="45" t="str">
        <f t="shared" si="24"/>
        <v/>
      </c>
      <c r="N57" s="26" t="str">
        <f t="shared" si="7"/>
        <v/>
      </c>
      <c r="O57" s="26" t="str">
        <f t="shared" si="8"/>
        <v/>
      </c>
      <c r="P57" s="45" t="str">
        <f t="shared" si="25"/>
        <v/>
      </c>
      <c r="Q57" s="26" t="str">
        <f t="shared" si="9"/>
        <v/>
      </c>
      <c r="R57" s="26" t="str">
        <f t="shared" si="10"/>
        <v/>
      </c>
      <c r="S57" s="45" t="str">
        <f t="shared" si="26"/>
        <v/>
      </c>
      <c r="T57" s="26" t="str">
        <f t="shared" si="11"/>
        <v/>
      </c>
      <c r="U57" s="26" t="str">
        <f t="shared" si="12"/>
        <v/>
      </c>
      <c r="V57" s="45" t="str">
        <f t="shared" si="27"/>
        <v/>
      </c>
      <c r="W57" s="26" t="str">
        <f t="shared" si="13"/>
        <v/>
      </c>
      <c r="X57" s="26" t="str">
        <f t="shared" si="14"/>
        <v/>
      </c>
      <c r="Y57" s="13" t="str">
        <f t="shared" si="28"/>
        <v/>
      </c>
      <c r="AB57" s="17">
        <v>0.95833333333332804</v>
      </c>
      <c r="AC57" s="28"/>
      <c r="AD57" s="28"/>
      <c r="AE57" s="28"/>
      <c r="AF57" s="28"/>
      <c r="AG57" s="28"/>
      <c r="AH57" s="28"/>
      <c r="AI57" s="28"/>
      <c r="AK57" s="17">
        <v>0.95833333333332804</v>
      </c>
      <c r="AL57" s="47"/>
      <c r="AM57" s="47"/>
      <c r="AN57" s="47"/>
      <c r="AO57" s="47"/>
      <c r="AP57" s="47"/>
      <c r="AQ57" s="47"/>
      <c r="AR57" s="47"/>
      <c r="AV57" s="37">
        <v>0.95833333333333304</v>
      </c>
      <c r="AW57" s="34" t="str">
        <f t="shared" si="15"/>
        <v/>
      </c>
      <c r="AX57" s="34" t="str">
        <f t="shared" si="16"/>
        <v/>
      </c>
      <c r="AY57" s="34" t="str">
        <f t="shared" si="17"/>
        <v/>
      </c>
      <c r="AZ57" s="34" t="str">
        <f t="shared" si="18"/>
        <v/>
      </c>
      <c r="BA57" s="34" t="str">
        <f t="shared" si="19"/>
        <v/>
      </c>
      <c r="BB57" s="34" t="str">
        <f t="shared" si="20"/>
        <v/>
      </c>
      <c r="BC57" s="35" t="str">
        <f t="shared" si="21"/>
        <v/>
      </c>
    </row>
    <row r="58" spans="4:55" ht="13.5" hidden="1" thickBot="1" x14ac:dyDescent="0.25">
      <c r="D58" s="17">
        <v>0.97916666666666097</v>
      </c>
      <c r="E58" s="26" t="str">
        <f t="shared" si="1"/>
        <v/>
      </c>
      <c r="F58" s="26" t="str">
        <f t="shared" si="2"/>
        <v/>
      </c>
      <c r="G58" s="45" t="str">
        <f t="shared" si="22"/>
        <v/>
      </c>
      <c r="H58" s="26" t="str">
        <f t="shared" si="3"/>
        <v/>
      </c>
      <c r="I58" s="26" t="str">
        <f t="shared" si="4"/>
        <v/>
      </c>
      <c r="J58" s="45" t="str">
        <f t="shared" si="23"/>
        <v/>
      </c>
      <c r="K58" s="26" t="str">
        <f t="shared" si="5"/>
        <v/>
      </c>
      <c r="L58" s="26" t="str">
        <f t="shared" si="6"/>
        <v/>
      </c>
      <c r="M58" s="45" t="str">
        <f t="shared" si="24"/>
        <v/>
      </c>
      <c r="N58" s="26" t="str">
        <f t="shared" si="7"/>
        <v/>
      </c>
      <c r="O58" s="26" t="str">
        <f t="shared" si="8"/>
        <v/>
      </c>
      <c r="P58" s="45" t="str">
        <f t="shared" si="25"/>
        <v/>
      </c>
      <c r="Q58" s="26" t="str">
        <f t="shared" si="9"/>
        <v/>
      </c>
      <c r="R58" s="26" t="str">
        <f t="shared" si="10"/>
        <v/>
      </c>
      <c r="S58" s="45" t="str">
        <f t="shared" si="26"/>
        <v/>
      </c>
      <c r="T58" s="26" t="str">
        <f t="shared" si="11"/>
        <v/>
      </c>
      <c r="U58" s="26" t="str">
        <f t="shared" si="12"/>
        <v/>
      </c>
      <c r="V58" s="45" t="str">
        <f t="shared" si="27"/>
        <v/>
      </c>
      <c r="W58" s="26" t="str">
        <f t="shared" si="13"/>
        <v/>
      </c>
      <c r="X58" s="26" t="str">
        <f t="shared" si="14"/>
        <v/>
      </c>
      <c r="Y58" s="13" t="str">
        <f t="shared" si="28"/>
        <v/>
      </c>
      <c r="AB58" s="18">
        <v>0.97916666666666097</v>
      </c>
      <c r="AC58" s="28"/>
      <c r="AD58" s="28"/>
      <c r="AE58" s="28"/>
      <c r="AF58" s="28"/>
      <c r="AG58" s="28"/>
      <c r="AH58" s="28"/>
      <c r="AI58" s="28"/>
      <c r="AK58" s="18">
        <v>0.97916666666666097</v>
      </c>
      <c r="AL58" s="47"/>
      <c r="AM58" s="47"/>
      <c r="AN58" s="47"/>
      <c r="AO58" s="47"/>
      <c r="AP58" s="47"/>
      <c r="AQ58" s="47"/>
      <c r="AR58" s="47"/>
      <c r="AV58" s="42">
        <v>0.97916666666666596</v>
      </c>
      <c r="AW58" s="43" t="str">
        <f t="shared" si="15"/>
        <v/>
      </c>
      <c r="AX58" s="43" t="str">
        <f t="shared" si="16"/>
        <v/>
      </c>
      <c r="AY58" s="43" t="str">
        <f t="shared" si="17"/>
        <v/>
      </c>
      <c r="AZ58" s="43" t="str">
        <f t="shared" si="18"/>
        <v/>
      </c>
      <c r="BA58" s="43" t="str">
        <f t="shared" si="19"/>
        <v/>
      </c>
      <c r="BB58" s="43" t="str">
        <f t="shared" si="20"/>
        <v/>
      </c>
      <c r="BC58" s="44" t="str">
        <f t="shared" si="21"/>
        <v/>
      </c>
    </row>
    <row r="59" spans="4:55" ht="13.5" thickBot="1" x14ac:dyDescent="0.25">
      <c r="D59" s="83" t="s">
        <v>26</v>
      </c>
      <c r="E59" s="84"/>
      <c r="F59" s="84"/>
      <c r="G59" s="19">
        <f>SUM(G11:G58)/2</f>
        <v>0</v>
      </c>
      <c r="H59" s="20">
        <f>SUM(H27:H45)</f>
        <v>202.12912087912088</v>
      </c>
      <c r="I59" s="20">
        <f>AVERAGE(I27:I45)</f>
        <v>1026.6388888888889</v>
      </c>
      <c r="J59" s="20">
        <f>SUM(J11:J58)/2</f>
        <v>77</v>
      </c>
      <c r="K59" s="20">
        <f>SUM(K27:K45)</f>
        <v>236.03465083303789</v>
      </c>
      <c r="L59" s="20">
        <f>AVERAGE(L27:L45)</f>
        <v>859.99666666666667</v>
      </c>
      <c r="M59" s="19">
        <f>SUM(M11:M58)/2</f>
        <v>80</v>
      </c>
      <c r="N59" s="20">
        <f>SUM(N27:N45)</f>
        <v>223.42874867068414</v>
      </c>
      <c r="O59" s="20">
        <f>AVERAGE(O27:O45)</f>
        <v>1143.2400000000002</v>
      </c>
      <c r="P59" s="19">
        <f>SUM(P11:P58)/2</f>
        <v>98</v>
      </c>
      <c r="Q59" s="20">
        <f>SUM(Q27:Q45)</f>
        <v>296.23870081531373</v>
      </c>
      <c r="R59" s="20">
        <f>AVERAGE(R27:R45)</f>
        <v>1017.4</v>
      </c>
      <c r="S59" s="19">
        <f>SUM(S11:S58)/2</f>
        <v>109.5</v>
      </c>
      <c r="T59" s="20">
        <f>SUM(T27:T45)</f>
        <v>268.4187788018433</v>
      </c>
      <c r="U59" s="20">
        <f>AVERAGE(U27:U45)</f>
        <v>826.4</v>
      </c>
      <c r="V59" s="19">
        <f>SUM(V11:V58)/2</f>
        <v>87</v>
      </c>
      <c r="W59" s="20"/>
      <c r="X59" s="20"/>
      <c r="Y59" s="21">
        <f>SUM(Y11:Y58)/2</f>
        <v>0</v>
      </c>
    </row>
    <row r="60" spans="4:55" x14ac:dyDescent="0.2">
      <c r="D60" s="4"/>
      <c r="E60" s="5"/>
      <c r="F60" s="5"/>
      <c r="H60" s="5"/>
      <c r="I60" s="5"/>
      <c r="K60" s="5"/>
      <c r="L60" s="5"/>
      <c r="N60" s="5"/>
      <c r="O60" s="5"/>
      <c r="Q60" s="5"/>
      <c r="R60" s="5"/>
      <c r="T60" s="5"/>
      <c r="U60" s="5"/>
      <c r="W60" s="5"/>
      <c r="X60" s="5"/>
      <c r="AA60" s="93" t="s">
        <v>27</v>
      </c>
      <c r="AB60" s="93"/>
      <c r="AC60" s="27">
        <f t="shared" ref="AC60:AI60" si="29">SUM(AC11:AC58)</f>
        <v>0</v>
      </c>
      <c r="AD60" s="27">
        <f t="shared" si="29"/>
        <v>1</v>
      </c>
      <c r="AE60" s="27">
        <f t="shared" si="29"/>
        <v>1</v>
      </c>
      <c r="AF60" s="27">
        <f t="shared" si="29"/>
        <v>0.99999999999999989</v>
      </c>
      <c r="AG60" s="27">
        <f t="shared" si="29"/>
        <v>1</v>
      </c>
      <c r="AH60" s="27">
        <f t="shared" si="29"/>
        <v>1</v>
      </c>
      <c r="AI60" s="27">
        <f t="shared" si="29"/>
        <v>0</v>
      </c>
    </row>
    <row r="64" spans="4:55" x14ac:dyDescent="0.2">
      <c r="D64" s="78" t="s">
        <v>28</v>
      </c>
      <c r="E64" s="78"/>
      <c r="F64" s="78"/>
      <c r="G64" s="7">
        <f>SUM(G59,J59,M59,P59,S59,V59,Y59)</f>
        <v>451.5</v>
      </c>
    </row>
    <row r="65" spans="4:16" x14ac:dyDescent="0.2">
      <c r="D65" s="67" t="s">
        <v>202</v>
      </c>
      <c r="E65" s="67"/>
      <c r="F65" s="67"/>
      <c r="G65" s="7">
        <f>G64/5</f>
        <v>90.3</v>
      </c>
    </row>
    <row r="66" spans="4:16" x14ac:dyDescent="0.2">
      <c r="D66" s="78" t="s">
        <v>29</v>
      </c>
      <c r="E66" s="78"/>
      <c r="F66" s="78"/>
      <c r="G66" s="22">
        <v>25</v>
      </c>
    </row>
    <row r="67" spans="4:16" x14ac:dyDescent="0.2">
      <c r="D67" s="78" t="s">
        <v>30</v>
      </c>
      <c r="E67" s="78"/>
      <c r="F67" s="78"/>
      <c r="G67" s="7">
        <f>G64/G66</f>
        <v>18.059999999999999</v>
      </c>
    </row>
    <row r="68" spans="4:16" x14ac:dyDescent="0.2">
      <c r="D68" s="6"/>
      <c r="E68" s="6"/>
      <c r="F68" s="6"/>
      <c r="G68" s="8"/>
    </row>
    <row r="69" spans="4:16" x14ac:dyDescent="0.2">
      <c r="D69" s="78" t="s">
        <v>31</v>
      </c>
      <c r="E69" s="78"/>
      <c r="F69" s="78"/>
      <c r="G69" s="23">
        <v>0.1</v>
      </c>
    </row>
    <row r="70" spans="4:16" x14ac:dyDescent="0.2">
      <c r="D70" s="9"/>
      <c r="E70" s="6"/>
      <c r="F70" s="6"/>
      <c r="G70" s="10"/>
      <c r="P70" s="2" t="s">
        <v>32</v>
      </c>
    </row>
    <row r="71" spans="4:16" x14ac:dyDescent="0.2">
      <c r="D71" s="78" t="s">
        <v>33</v>
      </c>
      <c r="E71" s="78"/>
      <c r="F71" s="78"/>
      <c r="G71" s="23">
        <v>0.2</v>
      </c>
    </row>
    <row r="73" spans="4:16" x14ac:dyDescent="0.2">
      <c r="D73" s="79" t="s">
        <v>34</v>
      </c>
      <c r="E73" s="79"/>
      <c r="F73" s="79"/>
      <c r="G73" s="11">
        <f>G67/(1-(G69+G71))</f>
        <v>25.8</v>
      </c>
    </row>
  </sheetData>
  <mergeCells count="26">
    <mergeCell ref="AL9:AR9"/>
    <mergeCell ref="D59:F59"/>
    <mergeCell ref="D64:F64"/>
    <mergeCell ref="AW3:BB4"/>
    <mergeCell ref="AW5:BC5"/>
    <mergeCell ref="AC3:AD3"/>
    <mergeCell ref="AC5:AI5"/>
    <mergeCell ref="J2:N3"/>
    <mergeCell ref="U2:Z6"/>
    <mergeCell ref="AC10:AI10"/>
    <mergeCell ref="AA60:AB60"/>
    <mergeCell ref="E9:G9"/>
    <mergeCell ref="H9:J9"/>
    <mergeCell ref="K9:M9"/>
    <mergeCell ref="D2:E2"/>
    <mergeCell ref="E7:R7"/>
    <mergeCell ref="D69:F69"/>
    <mergeCell ref="D71:F71"/>
    <mergeCell ref="D73:F73"/>
    <mergeCell ref="D66:F66"/>
    <mergeCell ref="D67:F67"/>
    <mergeCell ref="T9:V9"/>
    <mergeCell ref="H4:Q4"/>
    <mergeCell ref="W9:Y9"/>
    <mergeCell ref="N9:P9"/>
    <mergeCell ref="Q9:S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0FA61-D4C8-4B0B-95C3-531436AA5636}">
  <sheetPr codeName="Sheet1"/>
  <dimension ref="A3:K36"/>
  <sheetViews>
    <sheetView workbookViewId="0">
      <selection activeCell="I20" sqref="I20"/>
    </sheetView>
  </sheetViews>
  <sheetFormatPr defaultRowHeight="15" x14ac:dyDescent="0.25"/>
  <cols>
    <col min="1" max="1" width="9.7109375" customWidth="1"/>
    <col min="2" max="2" width="24" style="53" customWidth="1"/>
    <col min="3" max="3" width="29.85546875" customWidth="1"/>
    <col min="4" max="4" width="18.140625" bestFit="1" customWidth="1"/>
    <col min="9" max="9" width="15.42578125" bestFit="1" customWidth="1"/>
    <col min="10" max="10" width="9.5703125" bestFit="1" customWidth="1"/>
  </cols>
  <sheetData>
    <row r="3" spans="1:5" x14ac:dyDescent="0.25">
      <c r="B3" s="53" t="s">
        <v>40</v>
      </c>
      <c r="C3" t="s">
        <v>107</v>
      </c>
      <c r="D3" t="s">
        <v>110</v>
      </c>
      <c r="E3" t="s">
        <v>41</v>
      </c>
    </row>
    <row r="4" spans="1:5" x14ac:dyDescent="0.25">
      <c r="A4" s="52">
        <f>IFERROR(WEEKDAY(B4,2)," ")</f>
        <v>2</v>
      </c>
      <c r="B4" s="58" t="str">
        <f>'Pivot Tables'!B22</f>
        <v>1-Dec</v>
      </c>
      <c r="C4">
        <f>IFERROR(INDEX('Pivot Tables'!$B21:$D45,MATCH('Volume Summary'!B4,'Pivot Tables'!$B21:$B45,0),MATCH('Volume Summary'!C3,B3:D3,0)),"N/A")</f>
        <v>297</v>
      </c>
      <c r="D4">
        <f>IFERROR(INDEX('Pivot Tables'!$B21:$D45,MATCH('Volume Summary'!B4,'Pivot Tables'!$B21:$B45,0),MATCH('Volume Summary'!D3,B3:D3,0))," N/A")</f>
        <v>2</v>
      </c>
    </row>
    <row r="5" spans="1:5" x14ac:dyDescent="0.25">
      <c r="A5" s="52">
        <f t="shared" ref="A5:A25" si="0">IFERROR(WEEKDAY(B5,2)," ")</f>
        <v>3</v>
      </c>
      <c r="B5" s="58" t="str">
        <f>'Pivot Tables'!B23</f>
        <v>2-Dec</v>
      </c>
      <c r="C5">
        <f>IFERROR(INDEX('Pivot Tables'!$B22:$D46,MATCH('Volume Summary'!B5,'Pivot Tables'!$B22:$B46,0),MATCH('Volume Summary'!C4,B4:D4,0)),"N/A")</f>
        <v>269</v>
      </c>
      <c r="D5">
        <f>IFERROR(INDEX('Pivot Tables'!$B22:$D46,MATCH('Volume Summary'!B5,'Pivot Tables'!$B22:$B46,0),MATCH('Volume Summary'!D4,B4:D4,0))," N/A")</f>
        <v>5</v>
      </c>
    </row>
    <row r="6" spans="1:5" x14ac:dyDescent="0.25">
      <c r="A6" s="52">
        <f t="shared" si="0"/>
        <v>6</v>
      </c>
      <c r="B6" s="58" t="str">
        <f>'Pivot Tables'!B24</f>
        <v>5-Dec</v>
      </c>
      <c r="C6">
        <f>IFERROR(INDEX('Pivot Tables'!$B23:$D47,MATCH('Volume Summary'!B6,'Pivot Tables'!$B23:$B47,0),MATCH('Volume Summary'!C5,B5:D5,0)),"N/A")</f>
        <v>370</v>
      </c>
      <c r="D6">
        <f>IFERROR(INDEX('Pivot Tables'!$B23:$D47,MATCH('Volume Summary'!B6,'Pivot Tables'!$B23:$B47,0),MATCH('Volume Summary'!D5,B5:D5,0))," N/A")</f>
        <v>17</v>
      </c>
      <c r="E6">
        <f>SUM(C4:C6)</f>
        <v>936</v>
      </c>
    </row>
    <row r="7" spans="1:5" x14ac:dyDescent="0.25">
      <c r="A7" s="52">
        <f t="shared" si="0"/>
        <v>7</v>
      </c>
      <c r="B7" s="58" t="str">
        <f>'Pivot Tables'!B25</f>
        <v>6-Dec</v>
      </c>
      <c r="C7">
        <f>IFERROR(INDEX('Pivot Tables'!$B24:$D48,MATCH('Volume Summary'!B7,'Pivot Tables'!$B24:$B48,0),MATCH('Volume Summary'!C6,B6:D6,0)),"N/A")</f>
        <v>280</v>
      </c>
      <c r="D7">
        <f>IFERROR(INDEX('Pivot Tables'!$B24:$D48,MATCH('Volume Summary'!B7,'Pivot Tables'!$B24:$B48,0),MATCH('Volume Summary'!D6,B6:D6,0))," N/A")</f>
        <v>2</v>
      </c>
    </row>
    <row r="8" spans="1:5" x14ac:dyDescent="0.25">
      <c r="A8" s="52">
        <f t="shared" si="0"/>
        <v>1</v>
      </c>
      <c r="B8" s="58" t="str">
        <f>'Pivot Tables'!B26</f>
        <v>7-Dec</v>
      </c>
      <c r="C8">
        <f>IFERROR(INDEX('Pivot Tables'!$B25:$D49,MATCH('Volume Summary'!B8,'Pivot Tables'!$B25:$B49,0),MATCH('Volume Summary'!C7,B7:D7,0)),"N/A")</f>
        <v>257</v>
      </c>
      <c r="D8">
        <f>IFERROR(INDEX('Pivot Tables'!$B25:$D49,MATCH('Volume Summary'!B8,'Pivot Tables'!$B25:$B49,0),MATCH('Volume Summary'!D7,B7:D7,0))," N/A")</f>
        <v>1</v>
      </c>
    </row>
    <row r="9" spans="1:5" x14ac:dyDescent="0.25">
      <c r="A9" s="52">
        <f t="shared" si="0"/>
        <v>2</v>
      </c>
      <c r="B9" s="58" t="str">
        <f>'Pivot Tables'!B27</f>
        <v>8-Dec</v>
      </c>
      <c r="C9">
        <f>IFERROR(INDEX('Pivot Tables'!$B26:$D50,MATCH('Volume Summary'!B9,'Pivot Tables'!$B26:$B50,0),MATCH('Volume Summary'!C8,B8:D8,0)),"N/A")</f>
        <v>242</v>
      </c>
      <c r="D9">
        <f>IFERROR(INDEX('Pivot Tables'!$B26:$D50,MATCH('Volume Summary'!B9,'Pivot Tables'!$B26:$B50,0),MATCH('Volume Summary'!D8,B8:D8,0))," N/A")</f>
        <v>1</v>
      </c>
    </row>
    <row r="10" spans="1:5" x14ac:dyDescent="0.25">
      <c r="A10" s="52">
        <f t="shared" si="0"/>
        <v>3</v>
      </c>
      <c r="B10" s="58" t="str">
        <f>'Pivot Tables'!B28</f>
        <v>9-Dec</v>
      </c>
      <c r="C10">
        <f>IFERROR(INDEX('Pivot Tables'!$B27:$D51,MATCH('Volume Summary'!B10,'Pivot Tables'!$B27:$B51,0),MATCH('Volume Summary'!C9,B9:D9,0)),"N/A")</f>
        <v>272</v>
      </c>
      <c r="D10">
        <f>IFERROR(INDEX('Pivot Tables'!$B27:$D51,MATCH('Volume Summary'!B10,'Pivot Tables'!$B27:$B51,0),MATCH('Volume Summary'!D9,B9:D9,0))," N/A")</f>
        <v>0</v>
      </c>
      <c r="E10">
        <f>SUM(C6:C10)</f>
        <v>1421</v>
      </c>
    </row>
    <row r="11" spans="1:5" x14ac:dyDescent="0.25">
      <c r="A11" s="52">
        <f t="shared" si="0"/>
        <v>6</v>
      </c>
      <c r="B11" s="58" t="str">
        <f>'Pivot Tables'!B29</f>
        <v>12-Dec</v>
      </c>
      <c r="C11">
        <f>IFERROR(INDEX('Pivot Tables'!$B28:$D52,MATCH('Volume Summary'!B11,'Pivot Tables'!$B28:$B52,0),MATCH('Volume Summary'!C10,B10:D10,0)),"N/A")</f>
        <v>304</v>
      </c>
      <c r="D11">
        <f>IFERROR(INDEX('Pivot Tables'!$B28:$D52,MATCH('Volume Summary'!B11,'Pivot Tables'!$B28:$B52,0),MATCH('Volume Summary'!D10,B10:D10,0))," N/A")</f>
        <v>3</v>
      </c>
    </row>
    <row r="12" spans="1:5" x14ac:dyDescent="0.25">
      <c r="A12" s="52">
        <f t="shared" si="0"/>
        <v>7</v>
      </c>
      <c r="B12" s="58" t="str">
        <f>'Pivot Tables'!B30</f>
        <v>13-Dec</v>
      </c>
      <c r="C12">
        <f>IFERROR(INDEX('Pivot Tables'!$B29:$D53,MATCH('Volume Summary'!B12,'Pivot Tables'!$B29:$B53,0),MATCH('Volume Summary'!C11,B11:D11,0)),"N/A")</f>
        <v>208</v>
      </c>
      <c r="D12">
        <f>IFERROR(INDEX('Pivot Tables'!$B29:$D53,MATCH('Volume Summary'!B12,'Pivot Tables'!$B29:$B53,0),MATCH('Volume Summary'!D11,B11:D11,0))," N/A")</f>
        <v>0</v>
      </c>
    </row>
    <row r="13" spans="1:5" x14ac:dyDescent="0.25">
      <c r="A13" s="52">
        <f t="shared" si="0"/>
        <v>1</v>
      </c>
      <c r="B13" s="58" t="str">
        <f>'Pivot Tables'!B31</f>
        <v>14-Dec</v>
      </c>
      <c r="C13">
        <f>IFERROR(INDEX('Pivot Tables'!$B30:$D54,MATCH('Volume Summary'!B13,'Pivot Tables'!$B30:$B54,0),MATCH('Volume Summary'!C12,B12:D12,0)),"N/A")</f>
        <v>267</v>
      </c>
      <c r="D13">
        <f>IFERROR(INDEX('Pivot Tables'!$B30:$D54,MATCH('Volume Summary'!B13,'Pivot Tables'!$B30:$B54,0),MATCH('Volume Summary'!D12,B12:D12,0))," N/A")</f>
        <v>0</v>
      </c>
    </row>
    <row r="14" spans="1:5" x14ac:dyDescent="0.25">
      <c r="A14" s="52">
        <f t="shared" si="0"/>
        <v>2</v>
      </c>
      <c r="B14" s="58" t="str">
        <f>'Pivot Tables'!B32</f>
        <v>15-Dec</v>
      </c>
      <c r="C14">
        <f>IFERROR(INDEX('Pivot Tables'!$B31:$D55,MATCH('Volume Summary'!B14,'Pivot Tables'!$B31:$B55,0),MATCH('Volume Summary'!C13,B13:D13,0)),"N/A")</f>
        <v>284</v>
      </c>
      <c r="D14">
        <f>IFERROR(INDEX('Pivot Tables'!$B31:$D55,MATCH('Volume Summary'!B14,'Pivot Tables'!$B31:$B55,0),MATCH('Volume Summary'!D13,B13:D13,0))," N/A")</f>
        <v>23</v>
      </c>
    </row>
    <row r="15" spans="1:5" x14ac:dyDescent="0.25">
      <c r="A15" s="52">
        <f t="shared" si="0"/>
        <v>3</v>
      </c>
      <c r="B15" s="58" t="str">
        <f>'Pivot Tables'!B33</f>
        <v>16-Dec</v>
      </c>
      <c r="C15">
        <f>IFERROR(INDEX('Pivot Tables'!$B32:$D56,MATCH('Volume Summary'!B15,'Pivot Tables'!$B32:$B56,0),MATCH('Volume Summary'!C14,B14:D14,0)),"N/A")</f>
        <v>262</v>
      </c>
      <c r="D15">
        <f>IFERROR(INDEX('Pivot Tables'!$B32:$D56,MATCH('Volume Summary'!B15,'Pivot Tables'!$B32:$B56,0),MATCH('Volume Summary'!D14,B14:D14,0))," N/A")</f>
        <v>2</v>
      </c>
      <c r="E15">
        <f>SUM(C11:C15)</f>
        <v>1325</v>
      </c>
    </row>
    <row r="16" spans="1:5" x14ac:dyDescent="0.25">
      <c r="A16" s="52">
        <f t="shared" si="0"/>
        <v>6</v>
      </c>
      <c r="B16" s="58" t="str">
        <f>'Pivot Tables'!B34</f>
        <v>19-Dec</v>
      </c>
      <c r="C16">
        <f>IFERROR(INDEX('Pivot Tables'!$B33:$D57,MATCH('Volume Summary'!B16,'Pivot Tables'!$B33:$B57,0),MATCH('Volume Summary'!C15,B15:D15,0)),"N/A")</f>
        <v>256</v>
      </c>
      <c r="D16">
        <f>IFERROR(INDEX('Pivot Tables'!$B33:$D57,MATCH('Volume Summary'!B16,'Pivot Tables'!$B33:$B57,0),MATCH('Volume Summary'!D15,B15:D15,0))," N/A")</f>
        <v>1</v>
      </c>
    </row>
    <row r="17" spans="1:11" x14ac:dyDescent="0.25">
      <c r="A17" s="52">
        <f t="shared" si="0"/>
        <v>7</v>
      </c>
      <c r="B17" s="58" t="str">
        <f>'Pivot Tables'!B35</f>
        <v>20-Dec</v>
      </c>
      <c r="C17">
        <f>IFERROR(INDEX('Pivot Tables'!$B34:$D58,MATCH('Volume Summary'!B17,'Pivot Tables'!$B34:$B58,0),MATCH('Volume Summary'!C16,B16:D16,0)),"N/A")</f>
        <v>288</v>
      </c>
      <c r="D17">
        <f>IFERROR(INDEX('Pivot Tables'!$B34:$D58,MATCH('Volume Summary'!B17,'Pivot Tables'!$B34:$B58,0),MATCH('Volume Summary'!D16,B16:D16,0))," N/A")</f>
        <v>3</v>
      </c>
    </row>
    <row r="18" spans="1:11" x14ac:dyDescent="0.25">
      <c r="A18" s="52">
        <f t="shared" si="0"/>
        <v>1</v>
      </c>
      <c r="B18" s="58" t="str">
        <f>'Pivot Tables'!B36</f>
        <v>21-Dec</v>
      </c>
      <c r="C18">
        <f>IFERROR(INDEX('Pivot Tables'!$B35:$D59,MATCH('Volume Summary'!B18,'Pivot Tables'!$B35:$B59,0),MATCH('Volume Summary'!C17,B17:D17,0)),"N/A")</f>
        <v>234</v>
      </c>
      <c r="D18">
        <f>IFERROR(INDEX('Pivot Tables'!$B35:$D59,MATCH('Volume Summary'!B18,'Pivot Tables'!$B35:$B59,0),MATCH('Volume Summary'!D17,B17:D17,0))," N/A")</f>
        <v>1</v>
      </c>
    </row>
    <row r="19" spans="1:11" x14ac:dyDescent="0.25">
      <c r="A19" s="52">
        <f t="shared" si="0"/>
        <v>2</v>
      </c>
      <c r="B19" s="58" t="str">
        <f>'Pivot Tables'!B37</f>
        <v>22-Dec</v>
      </c>
      <c r="C19">
        <f>IFERROR(INDEX('Pivot Tables'!$B36:$D60,MATCH('Volume Summary'!B19,'Pivot Tables'!$B36:$B60,0),MATCH('Volume Summary'!C18,B18:D18,0)),"N/A")</f>
        <v>235</v>
      </c>
      <c r="D19">
        <f>IFERROR(INDEX('Pivot Tables'!$B36:$D60,MATCH('Volume Summary'!B19,'Pivot Tables'!$B36:$B60,0),MATCH('Volume Summary'!D18,B18:D18,0))," N/A")</f>
        <v>0</v>
      </c>
    </row>
    <row r="20" spans="1:11" x14ac:dyDescent="0.25">
      <c r="A20" s="52">
        <f t="shared" si="0"/>
        <v>3</v>
      </c>
      <c r="B20" s="58" t="str">
        <f>'Pivot Tables'!B38</f>
        <v>23-Dec</v>
      </c>
      <c r="C20">
        <f>IFERROR(INDEX('Pivot Tables'!$B37:$D61,MATCH('Volume Summary'!B20,'Pivot Tables'!$B37:$B61,0),MATCH('Volume Summary'!C19,B19:D19,0)),"N/A")</f>
        <v>210</v>
      </c>
      <c r="D20">
        <f>IFERROR(INDEX('Pivot Tables'!$B37:$D61,MATCH('Volume Summary'!B20,'Pivot Tables'!$B37:$B61,0),MATCH('Volume Summary'!D19,B19:D19,0))," N/A")</f>
        <v>0</v>
      </c>
      <c r="E20">
        <f>SUM(C16:C20)</f>
        <v>1223</v>
      </c>
    </row>
    <row r="21" spans="1:11" x14ac:dyDescent="0.25">
      <c r="A21" s="52">
        <f t="shared" si="0"/>
        <v>7</v>
      </c>
      <c r="B21" s="58" t="str">
        <f>'Pivot Tables'!B39</f>
        <v>27-Dec</v>
      </c>
      <c r="C21">
        <f>IFERROR(INDEX('Pivot Tables'!$B38:$D62,MATCH('Volume Summary'!B21,'Pivot Tables'!$B38:$B62,0),MATCH('Volume Summary'!C20,B20:D20,0)),"N/A")</f>
        <v>310</v>
      </c>
      <c r="D21">
        <f>IFERROR(INDEX('Pivot Tables'!$B38:$D62,MATCH('Volume Summary'!B21,'Pivot Tables'!$B38:$B62,0),MATCH('Volume Summary'!D20,B20:D20,0))," N/A")</f>
        <v>6</v>
      </c>
    </row>
    <row r="22" spans="1:11" x14ac:dyDescent="0.25">
      <c r="A22" s="52">
        <f t="shared" si="0"/>
        <v>1</v>
      </c>
      <c r="B22" s="58" t="str">
        <f>'Pivot Tables'!B40</f>
        <v>28-Dec</v>
      </c>
      <c r="C22">
        <f>IFERROR(INDEX('Pivot Tables'!$B39:$D63,MATCH('Volume Summary'!B22,'Pivot Tables'!$B39:$B63,0),MATCH('Volume Summary'!C21,B21:D21,0)),"N/A")</f>
        <v>270</v>
      </c>
      <c r="D22">
        <f>IFERROR(INDEX('Pivot Tables'!$B39:$D63,MATCH('Volume Summary'!B22,'Pivot Tables'!$B39:$B63,0),MATCH('Volume Summary'!D21,B21:D21,0))," N/A")</f>
        <v>13</v>
      </c>
    </row>
    <row r="23" spans="1:11" x14ac:dyDescent="0.25">
      <c r="A23" s="52">
        <f t="shared" si="0"/>
        <v>2</v>
      </c>
      <c r="B23" s="58" t="str">
        <f>'Pivot Tables'!B41</f>
        <v>29-Dec</v>
      </c>
      <c r="C23">
        <f>IFERROR(INDEX('Pivot Tables'!$B40:$D64,MATCH('Volume Summary'!B23,'Pivot Tables'!$B40:$B64,0),MATCH('Volume Summary'!C22,B22:D22,0)),"N/A")</f>
        <v>305</v>
      </c>
      <c r="D23">
        <f>IFERROR(INDEX('Pivot Tables'!$B40:$D64,MATCH('Volume Summary'!B23,'Pivot Tables'!$B40:$B64,0),MATCH('Volume Summary'!D22,B22:D22,0))," N/A")</f>
        <v>6</v>
      </c>
    </row>
    <row r="24" spans="1:11" x14ac:dyDescent="0.25">
      <c r="A24" s="52">
        <f t="shared" si="0"/>
        <v>3</v>
      </c>
      <c r="B24" s="58" t="str">
        <f>'Pivot Tables'!B42</f>
        <v>30-Dec</v>
      </c>
      <c r="C24">
        <f>IFERROR(INDEX('Pivot Tables'!$B41:$D65,MATCH('Volume Summary'!B24,'Pivot Tables'!$B41:$B65,0),MATCH('Volume Summary'!C23,B23:D23,0)),"N/A")</f>
        <v>222</v>
      </c>
      <c r="D24">
        <f>IFERROR(INDEX('Pivot Tables'!$B41:$D65,MATCH('Volume Summary'!B24,'Pivot Tables'!$B41:$B65,0),MATCH('Volume Summary'!D23,B23:D23,0))," N/A")</f>
        <v>4</v>
      </c>
      <c r="E24">
        <f>SUM(C21:C24)</f>
        <v>1107</v>
      </c>
    </row>
    <row r="25" spans="1:11" x14ac:dyDescent="0.25">
      <c r="A25" s="52" t="str">
        <f t="shared" si="0"/>
        <v xml:space="preserve"> </v>
      </c>
      <c r="B25" s="58" t="str">
        <f>'Pivot Tables'!B43</f>
        <v>Grand Total</v>
      </c>
      <c r="C25">
        <f>IFERROR(INDEX('Pivot Tables'!$B42:$D66,MATCH('Volume Summary'!B25,'Pivot Tables'!$B42:$B66,0),MATCH('Volume Summary'!C24,B24:D24,0)),"N/A")</f>
        <v>5642</v>
      </c>
      <c r="D25">
        <f>IFERROR(INDEX('Pivot Tables'!$B42:$D66,MATCH('Volume Summary'!B25,'Pivot Tables'!$B42:$B66,0),MATCH('Volume Summary'!D24,B24:D24,0))," N/A")</f>
        <v>90</v>
      </c>
    </row>
    <row r="26" spans="1:11" x14ac:dyDescent="0.25">
      <c r="A26" s="52"/>
      <c r="B26" s="58"/>
    </row>
    <row r="27" spans="1:11" x14ac:dyDescent="0.25">
      <c r="A27" s="52"/>
      <c r="B27" s="58"/>
      <c r="I27" t="s">
        <v>42</v>
      </c>
      <c r="J27" t="s">
        <v>22</v>
      </c>
      <c r="K27" t="s">
        <v>44</v>
      </c>
    </row>
    <row r="28" spans="1:11" x14ac:dyDescent="0.25">
      <c r="A28" s="52"/>
      <c r="I28" s="53">
        <v>44900</v>
      </c>
      <c r="J28">
        <f>E6</f>
        <v>936</v>
      </c>
    </row>
    <row r="29" spans="1:11" x14ac:dyDescent="0.25">
      <c r="A29" s="52"/>
      <c r="I29" s="53">
        <v>44904</v>
      </c>
      <c r="J29">
        <f>E10</f>
        <v>1421</v>
      </c>
    </row>
    <row r="30" spans="1:11" x14ac:dyDescent="0.25">
      <c r="A30" s="52"/>
      <c r="I30" s="53">
        <v>44911</v>
      </c>
      <c r="J30">
        <f>E15</f>
        <v>1325</v>
      </c>
    </row>
    <row r="31" spans="1:11" x14ac:dyDescent="0.25">
      <c r="A31" s="52"/>
      <c r="I31" s="53">
        <v>44918</v>
      </c>
      <c r="J31">
        <f>E20</f>
        <v>1223</v>
      </c>
    </row>
    <row r="32" spans="1:11" x14ac:dyDescent="0.25">
      <c r="A32" s="52"/>
      <c r="I32" s="53">
        <v>44925</v>
      </c>
      <c r="J32">
        <f>E24</f>
        <v>1107</v>
      </c>
      <c r="K32" t="s">
        <v>346</v>
      </c>
    </row>
    <row r="33" spans="1:10" x14ac:dyDescent="0.25">
      <c r="A33" s="52"/>
    </row>
    <row r="34" spans="1:10" x14ac:dyDescent="0.25">
      <c r="A34" s="52"/>
      <c r="I34" s="53" t="s">
        <v>347</v>
      </c>
      <c r="J34">
        <f>AVERAGE(J28:J31)</f>
        <v>1226.25</v>
      </c>
    </row>
    <row r="35" spans="1:10" x14ac:dyDescent="0.25">
      <c r="A35" s="52"/>
    </row>
    <row r="36" spans="1:10" x14ac:dyDescent="0.25">
      <c r="A36" s="52"/>
    </row>
  </sheetData>
  <phoneticPr fontId="13"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3:M16"/>
  <sheetViews>
    <sheetView workbookViewId="0">
      <selection activeCell="D37" sqref="D37"/>
    </sheetView>
  </sheetViews>
  <sheetFormatPr defaultRowHeight="15" x14ac:dyDescent="0.25"/>
  <cols>
    <col min="3" max="3" width="17.7109375" customWidth="1"/>
    <col min="4" max="4" width="77.85546875" bestFit="1" customWidth="1"/>
    <col min="7" max="7" width="9.42578125" bestFit="1" customWidth="1"/>
    <col min="10" max="10" width="5.5703125" customWidth="1"/>
  </cols>
  <sheetData>
    <row r="3" spans="2:13" x14ac:dyDescent="0.25">
      <c r="B3" s="100" t="s">
        <v>45</v>
      </c>
      <c r="C3" s="100"/>
      <c r="D3" s="100"/>
      <c r="E3" s="100"/>
      <c r="F3" s="100"/>
      <c r="G3" s="100"/>
      <c r="H3" s="100"/>
      <c r="I3" s="100"/>
      <c r="J3" s="100"/>
      <c r="K3" s="100"/>
    </row>
    <row r="4" spans="2:13" x14ac:dyDescent="0.25">
      <c r="B4" s="99" t="s">
        <v>46</v>
      </c>
      <c r="C4" s="99"/>
      <c r="D4" s="99"/>
      <c r="E4" s="99"/>
      <c r="F4" s="99"/>
      <c r="G4" s="99"/>
      <c r="H4" s="24"/>
    </row>
    <row r="5" spans="2:13" x14ac:dyDescent="0.25">
      <c r="B5" s="24"/>
      <c r="C5" s="24"/>
      <c r="D5" s="24"/>
      <c r="E5" s="24"/>
      <c r="F5" s="24"/>
      <c r="G5" s="24"/>
      <c r="H5" s="24"/>
    </row>
    <row r="6" spans="2:13" x14ac:dyDescent="0.25">
      <c r="C6" s="25" t="s">
        <v>47</v>
      </c>
      <c r="D6" s="25" t="s">
        <v>48</v>
      </c>
      <c r="G6" s="98" t="s">
        <v>49</v>
      </c>
      <c r="H6" s="98"/>
      <c r="I6" s="98"/>
      <c r="J6" s="98"/>
      <c r="K6" s="98"/>
      <c r="L6" s="98"/>
      <c r="M6" s="98"/>
    </row>
    <row r="7" spans="2:13" x14ac:dyDescent="0.25">
      <c r="B7" s="1"/>
    </row>
    <row r="8" spans="2:13" x14ac:dyDescent="0.25">
      <c r="C8" t="s">
        <v>50</v>
      </c>
      <c r="D8" t="s">
        <v>51</v>
      </c>
      <c r="G8" s="99" t="s">
        <v>6</v>
      </c>
      <c r="H8" s="101"/>
      <c r="I8" s="23">
        <v>0.9</v>
      </c>
    </row>
    <row r="9" spans="2:13" x14ac:dyDescent="0.25">
      <c r="G9" s="99" t="s">
        <v>8</v>
      </c>
      <c r="H9" s="101"/>
      <c r="I9" s="22">
        <v>10</v>
      </c>
    </row>
    <row r="10" spans="2:13" x14ac:dyDescent="0.25">
      <c r="C10" t="s">
        <v>52</v>
      </c>
      <c r="D10" t="s">
        <v>51</v>
      </c>
    </row>
    <row r="11" spans="2:13" x14ac:dyDescent="0.25">
      <c r="G11" s="97" t="s">
        <v>53</v>
      </c>
      <c r="H11" s="97"/>
      <c r="I11" s="97"/>
      <c r="K11" s="97" t="s">
        <v>2</v>
      </c>
      <c r="L11" s="97"/>
      <c r="M11" s="97"/>
    </row>
    <row r="12" spans="2:13" x14ac:dyDescent="0.25">
      <c r="G12" t="s">
        <v>43</v>
      </c>
      <c r="H12" t="s">
        <v>23</v>
      </c>
      <c r="I12" t="s">
        <v>24</v>
      </c>
      <c r="K12" t="s">
        <v>43</v>
      </c>
      <c r="L12" t="s">
        <v>23</v>
      </c>
      <c r="M12" t="s">
        <v>24</v>
      </c>
    </row>
    <row r="13" spans="2:13" x14ac:dyDescent="0.25">
      <c r="G13" s="22">
        <v>122</v>
      </c>
      <c r="H13" s="22">
        <v>60</v>
      </c>
      <c r="I13">
        <f>AgentsHourly($I$8,$I$9,G13,H13)</f>
        <v>5</v>
      </c>
      <c r="K13" s="22">
        <v>122</v>
      </c>
      <c r="L13" s="22">
        <v>223</v>
      </c>
      <c r="M13">
        <f>AgentsHalfHour($I$8,$I$9,K13,L13)</f>
        <v>21</v>
      </c>
    </row>
    <row r="14" spans="2:13" x14ac:dyDescent="0.25">
      <c r="G14" s="22"/>
      <c r="H14" s="22"/>
      <c r="I14">
        <f t="shared" ref="I14:I16" si="0">AgentsHourly($I$8,$I$9,G14,H14)</f>
        <v>0</v>
      </c>
      <c r="K14" s="22"/>
      <c r="L14" s="22"/>
      <c r="M14">
        <f t="shared" ref="M14:M16" si="1">AgentsHalfHour($I$8,$I$9,K14,L14)</f>
        <v>0</v>
      </c>
    </row>
    <row r="15" spans="2:13" x14ac:dyDescent="0.25">
      <c r="G15" s="22"/>
      <c r="H15" s="22"/>
      <c r="I15">
        <f t="shared" si="0"/>
        <v>0</v>
      </c>
      <c r="K15" s="22"/>
      <c r="L15" s="22"/>
      <c r="M15">
        <f t="shared" si="1"/>
        <v>0</v>
      </c>
    </row>
    <row r="16" spans="2:13" x14ac:dyDescent="0.25">
      <c r="G16" s="22"/>
      <c r="H16" s="22"/>
      <c r="I16">
        <f t="shared" si="0"/>
        <v>0</v>
      </c>
      <c r="K16" s="22"/>
      <c r="L16" s="22"/>
      <c r="M16">
        <f t="shared" si="1"/>
        <v>0</v>
      </c>
    </row>
  </sheetData>
  <mergeCells count="7">
    <mergeCell ref="G11:I11"/>
    <mergeCell ref="K11:M11"/>
    <mergeCell ref="G6:M6"/>
    <mergeCell ref="B4:G4"/>
    <mergeCell ref="B3:K3"/>
    <mergeCell ref="G8:H8"/>
    <mergeCell ref="G9:H9"/>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B39AE-AB09-4B5B-A40F-ABA3D7038722}">
  <sheetPr codeName="Sheet4"/>
  <dimension ref="C2:AF91"/>
  <sheetViews>
    <sheetView zoomScale="85" zoomScaleNormal="85" workbookViewId="0">
      <selection activeCell="M3" sqref="M3:Q3"/>
    </sheetView>
  </sheetViews>
  <sheetFormatPr defaultRowHeight="15" x14ac:dyDescent="0.25"/>
  <cols>
    <col min="4" max="8" width="9.7109375" bestFit="1" customWidth="1"/>
    <col min="21" max="21" width="11.42578125" bestFit="1" customWidth="1"/>
  </cols>
  <sheetData>
    <row r="2" spans="3:32" x14ac:dyDescent="0.25">
      <c r="D2" s="102" t="s">
        <v>35</v>
      </c>
      <c r="E2" s="102"/>
      <c r="F2" s="102"/>
      <c r="G2" s="102"/>
      <c r="H2" s="102"/>
      <c r="I2" s="102"/>
      <c r="M2" s="102" t="s">
        <v>36</v>
      </c>
      <c r="N2" s="102"/>
      <c r="O2" s="102"/>
      <c r="P2" s="102"/>
      <c r="Q2" s="102"/>
      <c r="R2" s="102"/>
      <c r="S2" s="51"/>
      <c r="U2" s="103" t="s">
        <v>37</v>
      </c>
      <c r="V2" s="104"/>
      <c r="W2" s="104"/>
      <c r="X2" s="104"/>
      <c r="Y2" s="104"/>
      <c r="Z2" s="104"/>
    </row>
    <row r="3" spans="3:32" x14ac:dyDescent="0.25">
      <c r="M3" s="55">
        <f>D32/$J32</f>
        <v>0.16483516483516483</v>
      </c>
      <c r="N3" s="55">
        <f t="shared" ref="N3:R3" si="0">E32/$J32</f>
        <v>0.19248493442041828</v>
      </c>
      <c r="O3" s="55">
        <f t="shared" si="0"/>
        <v>0.18220489188231123</v>
      </c>
      <c r="P3" s="55">
        <f t="shared" si="0"/>
        <v>0.24158099964551577</v>
      </c>
      <c r="Q3" s="55">
        <f t="shared" si="0"/>
        <v>0.21889400921658986</v>
      </c>
      <c r="R3" s="55">
        <f t="shared" si="0"/>
        <v>0</v>
      </c>
      <c r="S3" s="70">
        <f>SUM(M3:R3)</f>
        <v>1</v>
      </c>
    </row>
    <row r="4" spans="3:32" x14ac:dyDescent="0.25">
      <c r="C4" s="25" t="s">
        <v>38</v>
      </c>
      <c r="D4" s="25" t="s">
        <v>12</v>
      </c>
      <c r="E4" s="25" t="s">
        <v>13</v>
      </c>
      <c r="F4" s="25" t="s">
        <v>14</v>
      </c>
      <c r="G4" s="25" t="s">
        <v>15</v>
      </c>
      <c r="H4" s="25" t="s">
        <v>16</v>
      </c>
      <c r="I4" s="25" t="s">
        <v>17</v>
      </c>
      <c r="L4" s="25" t="s">
        <v>38</v>
      </c>
      <c r="M4" s="25" t="s">
        <v>12</v>
      </c>
      <c r="N4" s="25" t="s">
        <v>13</v>
      </c>
      <c r="O4" s="25" t="s">
        <v>14</v>
      </c>
      <c r="P4" s="25" t="s">
        <v>15</v>
      </c>
      <c r="Q4" s="25" t="s">
        <v>16</v>
      </c>
      <c r="R4" s="25" t="s">
        <v>17</v>
      </c>
      <c r="U4" s="25" t="s">
        <v>38</v>
      </c>
      <c r="V4" s="25" t="s">
        <v>12</v>
      </c>
      <c r="W4" s="25" t="s">
        <v>13</v>
      </c>
      <c r="X4" s="25" t="s">
        <v>14</v>
      </c>
      <c r="Y4" s="25" t="s">
        <v>15</v>
      </c>
      <c r="Z4" s="25" t="s">
        <v>16</v>
      </c>
      <c r="AA4" s="25" t="s">
        <v>17</v>
      </c>
    </row>
    <row r="5" spans="3:32" x14ac:dyDescent="0.25">
      <c r="C5" s="56">
        <v>0.33333333333333331</v>
      </c>
      <c r="D5">
        <v>54</v>
      </c>
      <c r="E5">
        <v>49</v>
      </c>
      <c r="F5">
        <v>49</v>
      </c>
      <c r="G5">
        <v>87</v>
      </c>
      <c r="H5">
        <v>79</v>
      </c>
      <c r="I5" s="54"/>
      <c r="L5" s="56">
        <v>0.33333333333333331</v>
      </c>
      <c r="M5" s="55">
        <f>D5/D$32</f>
        <v>5.8064516129032261E-2</v>
      </c>
      <c r="N5" s="55">
        <f t="shared" ref="N5:R20" si="1">E5/E$32</f>
        <v>4.5119705340699819E-2</v>
      </c>
      <c r="O5" s="55">
        <f t="shared" si="1"/>
        <v>4.7665369649805445E-2</v>
      </c>
      <c r="P5" s="55">
        <f t="shared" si="1"/>
        <v>6.3829787234042548E-2</v>
      </c>
      <c r="Q5" s="55">
        <f t="shared" si="1"/>
        <v>6.396761133603239E-2</v>
      </c>
      <c r="R5" s="55"/>
      <c r="S5" s="55"/>
      <c r="U5" s="56">
        <v>0.33333333333333331</v>
      </c>
      <c r="V5" s="54">
        <v>926</v>
      </c>
      <c r="W5" s="54">
        <v>737</v>
      </c>
      <c r="X5" s="54">
        <v>1009</v>
      </c>
      <c r="Y5" s="54">
        <v>785.4</v>
      </c>
      <c r="Z5" s="54">
        <v>1021.4</v>
      </c>
      <c r="AF5" s="54"/>
    </row>
    <row r="6" spans="3:32" hidden="1" x14ac:dyDescent="0.25">
      <c r="C6" s="56">
        <v>0.35416666666666669</v>
      </c>
      <c r="D6" s="54"/>
      <c r="E6" s="54"/>
      <c r="F6" s="54"/>
      <c r="G6" s="54"/>
      <c r="H6" s="54"/>
      <c r="I6" s="54"/>
      <c r="L6" s="56">
        <v>0.35416666666666669</v>
      </c>
      <c r="M6" s="55">
        <f t="shared" ref="M6:Q30" si="2">D6/D$32</f>
        <v>0</v>
      </c>
      <c r="N6" s="55">
        <f t="shared" si="1"/>
        <v>0</v>
      </c>
      <c r="O6" s="55">
        <f t="shared" si="1"/>
        <v>0</v>
      </c>
      <c r="P6" s="55">
        <f t="shared" si="1"/>
        <v>0</v>
      </c>
      <c r="Q6" s="55">
        <f t="shared" si="1"/>
        <v>0</v>
      </c>
      <c r="R6" s="55"/>
      <c r="S6" s="55"/>
      <c r="U6" s="56">
        <v>0.35416666666666669</v>
      </c>
      <c r="V6" s="54"/>
      <c r="W6" s="54"/>
      <c r="X6" s="54"/>
      <c r="Y6" s="54"/>
      <c r="Z6" s="54"/>
    </row>
    <row r="7" spans="3:32" x14ac:dyDescent="0.25">
      <c r="C7" s="56">
        <v>0.375</v>
      </c>
      <c r="D7">
        <v>91</v>
      </c>
      <c r="E7">
        <v>101</v>
      </c>
      <c r="F7">
        <v>92</v>
      </c>
      <c r="G7">
        <v>143</v>
      </c>
      <c r="H7">
        <v>122</v>
      </c>
      <c r="I7" s="54"/>
      <c r="L7" s="56">
        <v>0.375</v>
      </c>
      <c r="M7" s="55">
        <f t="shared" si="2"/>
        <v>9.7849462365591403E-2</v>
      </c>
      <c r="N7" s="55">
        <f t="shared" si="1"/>
        <v>9.3001841620626149E-2</v>
      </c>
      <c r="O7" s="55">
        <f t="shared" si="1"/>
        <v>8.9494163424124515E-2</v>
      </c>
      <c r="P7" s="55">
        <f t="shared" si="1"/>
        <v>0.10491562729273661</v>
      </c>
      <c r="Q7" s="55">
        <f t="shared" si="1"/>
        <v>9.8785425101214575E-2</v>
      </c>
      <c r="R7" s="55" t="e">
        <f t="shared" si="1"/>
        <v>#DIV/0!</v>
      </c>
      <c r="S7" s="55"/>
      <c r="U7" s="56">
        <v>0.375</v>
      </c>
      <c r="V7" s="54">
        <v>1031</v>
      </c>
      <c r="W7" s="54">
        <v>883.75</v>
      </c>
      <c r="X7" s="54">
        <v>1087</v>
      </c>
      <c r="Y7" s="54">
        <v>859.8</v>
      </c>
      <c r="Z7" s="54">
        <v>953.8</v>
      </c>
      <c r="AA7" s="54"/>
    </row>
    <row r="8" spans="3:32" hidden="1" x14ac:dyDescent="0.25">
      <c r="C8" s="56">
        <v>0.39583333333333331</v>
      </c>
      <c r="D8" s="54"/>
      <c r="E8" s="54"/>
      <c r="F8" s="54"/>
      <c r="G8" s="54"/>
      <c r="H8" s="54"/>
      <c r="I8" s="54"/>
      <c r="L8" s="56">
        <v>0.39583333333333331</v>
      </c>
      <c r="M8" s="55">
        <f t="shared" si="2"/>
        <v>0</v>
      </c>
      <c r="N8" s="55">
        <f t="shared" si="1"/>
        <v>0</v>
      </c>
      <c r="O8" s="55">
        <f t="shared" si="1"/>
        <v>0</v>
      </c>
      <c r="P8" s="55">
        <f t="shared" si="1"/>
        <v>0</v>
      </c>
      <c r="Q8" s="55">
        <f t="shared" si="1"/>
        <v>0</v>
      </c>
      <c r="R8" s="55" t="e">
        <f t="shared" si="1"/>
        <v>#DIV/0!</v>
      </c>
      <c r="S8" s="55"/>
      <c r="U8" s="56">
        <v>0.39583333333333331</v>
      </c>
      <c r="V8" s="54"/>
      <c r="W8" s="54"/>
      <c r="X8" s="54"/>
      <c r="Y8" s="54"/>
      <c r="Z8" s="54"/>
      <c r="AA8" s="54"/>
    </row>
    <row r="9" spans="3:32" x14ac:dyDescent="0.25">
      <c r="C9" s="56">
        <v>0.41666666666666669</v>
      </c>
      <c r="D9">
        <v>113</v>
      </c>
      <c r="E9">
        <v>159</v>
      </c>
      <c r="F9">
        <v>121</v>
      </c>
      <c r="G9">
        <v>158</v>
      </c>
      <c r="H9">
        <v>165</v>
      </c>
      <c r="I9" s="54"/>
      <c r="L9" s="56">
        <v>0.41666666666666669</v>
      </c>
      <c r="M9" s="55">
        <f t="shared" si="2"/>
        <v>0.12150537634408602</v>
      </c>
      <c r="N9" s="55">
        <f t="shared" si="1"/>
        <v>0.14640883977900551</v>
      </c>
      <c r="O9" s="55">
        <f t="shared" si="1"/>
        <v>0.11770428015564202</v>
      </c>
      <c r="P9" s="55">
        <f t="shared" si="1"/>
        <v>0.11592076302274394</v>
      </c>
      <c r="Q9" s="55">
        <f t="shared" si="1"/>
        <v>0.13360323886639677</v>
      </c>
      <c r="R9" s="55" t="e">
        <f t="shared" si="1"/>
        <v>#DIV/0!</v>
      </c>
      <c r="S9" s="55"/>
      <c r="U9" s="56">
        <v>0.41666666666666669</v>
      </c>
      <c r="V9" s="54">
        <v>807</v>
      </c>
      <c r="W9" s="54">
        <v>880.5</v>
      </c>
      <c r="X9" s="54">
        <v>854.25</v>
      </c>
      <c r="Y9" s="54">
        <v>1000</v>
      </c>
      <c r="Z9" s="54">
        <v>847</v>
      </c>
      <c r="AA9" s="54"/>
    </row>
    <row r="10" spans="3:32" hidden="1" x14ac:dyDescent="0.25">
      <c r="C10" s="56">
        <v>0.4375</v>
      </c>
      <c r="D10" s="54"/>
      <c r="E10" s="54"/>
      <c r="F10" s="54"/>
      <c r="G10" s="54"/>
      <c r="H10" s="54"/>
      <c r="I10" s="54"/>
      <c r="L10" s="56">
        <v>0.4375</v>
      </c>
      <c r="M10" s="55">
        <f t="shared" si="2"/>
        <v>0</v>
      </c>
      <c r="N10" s="55">
        <f t="shared" si="1"/>
        <v>0</v>
      </c>
      <c r="O10" s="55">
        <f t="shared" si="1"/>
        <v>0</v>
      </c>
      <c r="P10" s="55">
        <f t="shared" si="1"/>
        <v>0</v>
      </c>
      <c r="Q10" s="55">
        <f t="shared" si="1"/>
        <v>0</v>
      </c>
      <c r="R10" s="55" t="e">
        <f t="shared" si="1"/>
        <v>#DIV/0!</v>
      </c>
      <c r="S10" s="55"/>
      <c r="U10" s="56">
        <v>0.4375</v>
      </c>
      <c r="V10" s="54"/>
      <c r="W10" s="54"/>
      <c r="X10" s="54"/>
      <c r="Y10" s="54"/>
      <c r="Z10" s="54"/>
      <c r="AA10" s="54"/>
    </row>
    <row r="11" spans="3:32" x14ac:dyDescent="0.25">
      <c r="C11" s="56">
        <v>0.45833333333333331</v>
      </c>
      <c r="D11">
        <v>124</v>
      </c>
      <c r="E11">
        <v>142</v>
      </c>
      <c r="F11">
        <v>134</v>
      </c>
      <c r="G11">
        <v>172</v>
      </c>
      <c r="H11">
        <v>164</v>
      </c>
      <c r="I11" s="54"/>
      <c r="L11" s="56">
        <v>0.45833333333333331</v>
      </c>
      <c r="M11" s="55">
        <f t="shared" si="2"/>
        <v>0.13333333333333333</v>
      </c>
      <c r="N11" s="55">
        <f t="shared" si="1"/>
        <v>0.13075506445672191</v>
      </c>
      <c r="O11" s="55">
        <f t="shared" si="1"/>
        <v>0.13035019455252919</v>
      </c>
      <c r="P11" s="55">
        <f t="shared" si="1"/>
        <v>0.12619222303741745</v>
      </c>
      <c r="Q11" s="55">
        <f t="shared" si="1"/>
        <v>0.13279352226720648</v>
      </c>
      <c r="R11" s="55" t="e">
        <f t="shared" si="1"/>
        <v>#DIV/0!</v>
      </c>
      <c r="S11" s="55"/>
      <c r="U11" s="56">
        <v>0.45833333333333331</v>
      </c>
      <c r="V11" s="54">
        <v>824.66666666666663</v>
      </c>
      <c r="W11" s="54">
        <v>876.25</v>
      </c>
      <c r="X11" s="54">
        <v>974.5</v>
      </c>
      <c r="Y11" s="54">
        <v>993</v>
      </c>
      <c r="Z11" s="54">
        <v>893.8</v>
      </c>
      <c r="AA11" s="54"/>
    </row>
    <row r="12" spans="3:32" hidden="1" x14ac:dyDescent="0.25">
      <c r="C12" s="56">
        <v>0.47916666666666669</v>
      </c>
      <c r="D12" s="54"/>
      <c r="E12" s="54"/>
      <c r="F12" s="54"/>
      <c r="G12" s="54"/>
      <c r="H12" s="54"/>
      <c r="I12" s="54"/>
      <c r="L12" s="56">
        <v>0.47916666666666669</v>
      </c>
      <c r="M12" s="55">
        <f t="shared" si="2"/>
        <v>0</v>
      </c>
      <c r="N12" s="55">
        <f t="shared" si="1"/>
        <v>0</v>
      </c>
      <c r="O12" s="55">
        <f t="shared" si="1"/>
        <v>0</v>
      </c>
      <c r="P12" s="55">
        <f t="shared" si="1"/>
        <v>0</v>
      </c>
      <c r="Q12" s="55">
        <f t="shared" si="1"/>
        <v>0</v>
      </c>
      <c r="R12" s="55" t="e">
        <f t="shared" si="1"/>
        <v>#DIV/0!</v>
      </c>
      <c r="S12" s="55"/>
      <c r="U12" s="56">
        <v>0.47916666666666669</v>
      </c>
      <c r="V12" s="54"/>
      <c r="W12" s="54"/>
      <c r="X12" s="54"/>
      <c r="Y12" s="54"/>
      <c r="Z12" s="54"/>
      <c r="AA12" s="54"/>
    </row>
    <row r="13" spans="3:32" x14ac:dyDescent="0.25">
      <c r="C13" s="56">
        <v>0.5</v>
      </c>
      <c r="D13">
        <v>138</v>
      </c>
      <c r="E13">
        <v>152</v>
      </c>
      <c r="F13">
        <v>140</v>
      </c>
      <c r="G13">
        <v>184</v>
      </c>
      <c r="H13">
        <v>183</v>
      </c>
      <c r="I13" s="54"/>
      <c r="L13" s="56">
        <v>0.5</v>
      </c>
      <c r="M13" s="55">
        <f t="shared" si="2"/>
        <v>0.14838709677419354</v>
      </c>
      <c r="N13" s="55">
        <f t="shared" si="1"/>
        <v>0.13996316758747698</v>
      </c>
      <c r="O13" s="55">
        <f t="shared" si="1"/>
        <v>0.13618677042801555</v>
      </c>
      <c r="P13" s="55">
        <f t="shared" si="1"/>
        <v>0.13499633162142333</v>
      </c>
      <c r="Q13" s="55">
        <f t="shared" si="1"/>
        <v>0.14817813765182186</v>
      </c>
      <c r="R13" s="55" t="e">
        <f t="shared" si="1"/>
        <v>#DIV/0!</v>
      </c>
      <c r="S13" s="55"/>
      <c r="U13" s="56">
        <v>0.5</v>
      </c>
      <c r="V13" s="54">
        <v>940.66666666666663</v>
      </c>
      <c r="W13" s="54">
        <v>884.25</v>
      </c>
      <c r="X13" s="54">
        <v>829</v>
      </c>
      <c r="Y13" s="54">
        <v>911.4</v>
      </c>
      <c r="Z13" s="54">
        <v>875.2</v>
      </c>
      <c r="AA13" s="54"/>
    </row>
    <row r="14" spans="3:32" hidden="1" x14ac:dyDescent="0.25">
      <c r="C14" s="56">
        <v>0.52083333333333337</v>
      </c>
      <c r="D14" s="54"/>
      <c r="E14" s="54"/>
      <c r="F14" s="54"/>
      <c r="G14" s="54"/>
      <c r="H14" s="54"/>
      <c r="I14" s="54"/>
      <c r="L14" s="56">
        <v>0.52083333333333337</v>
      </c>
      <c r="M14" s="55">
        <f t="shared" si="2"/>
        <v>0</v>
      </c>
      <c r="N14" s="55">
        <f t="shared" si="1"/>
        <v>0</v>
      </c>
      <c r="O14" s="55">
        <f t="shared" si="1"/>
        <v>0</v>
      </c>
      <c r="P14" s="55">
        <f t="shared" si="1"/>
        <v>0</v>
      </c>
      <c r="Q14" s="55">
        <f t="shared" si="1"/>
        <v>0</v>
      </c>
      <c r="R14" s="55" t="e">
        <f t="shared" si="1"/>
        <v>#DIV/0!</v>
      </c>
      <c r="S14" s="55"/>
      <c r="U14" s="56">
        <v>0.52083333333333337</v>
      </c>
      <c r="V14" s="54"/>
      <c r="W14" s="54"/>
      <c r="X14" s="54"/>
      <c r="Y14" s="54"/>
      <c r="Z14" s="54"/>
      <c r="AA14" s="54"/>
    </row>
    <row r="15" spans="3:32" x14ac:dyDescent="0.25">
      <c r="C15" s="56">
        <v>0.54166666666666663</v>
      </c>
      <c r="D15">
        <v>127</v>
      </c>
      <c r="E15">
        <v>122</v>
      </c>
      <c r="F15">
        <v>144</v>
      </c>
      <c r="G15">
        <v>177</v>
      </c>
      <c r="H15">
        <v>152</v>
      </c>
      <c r="I15" s="54"/>
      <c r="L15" s="56">
        <v>0.54166666666666663</v>
      </c>
      <c r="M15" s="55">
        <f t="shared" si="2"/>
        <v>0.13655913978494624</v>
      </c>
      <c r="N15" s="55">
        <f t="shared" si="1"/>
        <v>0.11233885819521179</v>
      </c>
      <c r="O15" s="55">
        <f t="shared" si="1"/>
        <v>0.14007782101167315</v>
      </c>
      <c r="P15" s="55">
        <f t="shared" si="1"/>
        <v>0.12986060161408658</v>
      </c>
      <c r="Q15" s="55">
        <f t="shared" si="1"/>
        <v>0.12307692307692308</v>
      </c>
      <c r="R15" s="55" t="e">
        <f t="shared" si="1"/>
        <v>#DIV/0!</v>
      </c>
      <c r="S15" s="55"/>
      <c r="U15" s="56">
        <v>0.54166666666666663</v>
      </c>
      <c r="V15" s="54">
        <v>872.33333333333337</v>
      </c>
      <c r="W15" s="54">
        <v>947.25</v>
      </c>
      <c r="X15" s="54">
        <v>840.25</v>
      </c>
      <c r="Y15" s="54">
        <v>1262.8</v>
      </c>
      <c r="Z15" s="54">
        <v>859</v>
      </c>
      <c r="AA15" s="54"/>
    </row>
    <row r="16" spans="3:32" hidden="1" x14ac:dyDescent="0.25">
      <c r="C16" s="56">
        <v>0.5625</v>
      </c>
      <c r="D16" s="54"/>
      <c r="E16" s="54"/>
      <c r="F16" s="54"/>
      <c r="G16" s="54"/>
      <c r="H16" s="54"/>
      <c r="I16" s="54"/>
      <c r="L16" s="56">
        <v>0.5625</v>
      </c>
      <c r="M16" s="55">
        <f t="shared" si="2"/>
        <v>0</v>
      </c>
      <c r="N16" s="55">
        <f t="shared" si="1"/>
        <v>0</v>
      </c>
      <c r="O16" s="55">
        <f t="shared" si="1"/>
        <v>0</v>
      </c>
      <c r="P16" s="55">
        <f t="shared" si="1"/>
        <v>0</v>
      </c>
      <c r="Q16" s="55">
        <f t="shared" si="1"/>
        <v>0</v>
      </c>
      <c r="R16" s="55" t="e">
        <f t="shared" si="1"/>
        <v>#DIV/0!</v>
      </c>
      <c r="S16" s="55"/>
      <c r="U16" s="56">
        <v>0.5625</v>
      </c>
      <c r="V16" s="54"/>
      <c r="W16" s="54"/>
      <c r="X16" s="54"/>
      <c r="Y16" s="54"/>
      <c r="Z16" s="54"/>
      <c r="AA16" s="54"/>
    </row>
    <row r="17" spans="3:32" x14ac:dyDescent="0.25">
      <c r="C17" s="56">
        <v>0.58333333333333337</v>
      </c>
      <c r="D17">
        <v>116</v>
      </c>
      <c r="E17">
        <v>136</v>
      </c>
      <c r="F17">
        <v>129</v>
      </c>
      <c r="G17">
        <v>167</v>
      </c>
      <c r="H17">
        <v>126</v>
      </c>
      <c r="I17" s="54"/>
      <c r="L17" s="56">
        <v>0.58333333333333337</v>
      </c>
      <c r="M17" s="55">
        <f t="shared" si="2"/>
        <v>0.12473118279569892</v>
      </c>
      <c r="N17" s="55">
        <f t="shared" si="1"/>
        <v>0.12523020257826889</v>
      </c>
      <c r="O17" s="55">
        <f t="shared" si="1"/>
        <v>0.1254863813229572</v>
      </c>
      <c r="P17" s="55">
        <f t="shared" si="1"/>
        <v>0.12252384446074835</v>
      </c>
      <c r="Q17" s="55">
        <f t="shared" si="1"/>
        <v>0.10202429149797571</v>
      </c>
      <c r="R17" s="55" t="e">
        <f t="shared" si="1"/>
        <v>#DIV/0!</v>
      </c>
      <c r="S17" s="55"/>
      <c r="U17" s="56">
        <v>0.58333333333333337</v>
      </c>
      <c r="V17" s="54">
        <v>982.33333333333337</v>
      </c>
      <c r="W17" s="54">
        <v>948</v>
      </c>
      <c r="X17" s="54">
        <v>881.75</v>
      </c>
      <c r="Y17" s="54">
        <v>869.4</v>
      </c>
      <c r="Z17" s="54">
        <v>951.8</v>
      </c>
      <c r="AA17" s="54"/>
    </row>
    <row r="18" spans="3:32" hidden="1" x14ac:dyDescent="0.25">
      <c r="C18" s="56">
        <v>0.60416666666666663</v>
      </c>
      <c r="D18" s="54"/>
      <c r="E18" s="54"/>
      <c r="F18" s="54"/>
      <c r="G18" s="54"/>
      <c r="H18" s="54"/>
      <c r="I18" s="54"/>
      <c r="L18" s="56">
        <v>0.60416666666666663</v>
      </c>
      <c r="M18" s="55">
        <f t="shared" si="2"/>
        <v>0</v>
      </c>
      <c r="N18" s="55">
        <f t="shared" si="1"/>
        <v>0</v>
      </c>
      <c r="O18" s="55">
        <f t="shared" si="1"/>
        <v>0</v>
      </c>
      <c r="P18" s="55">
        <f t="shared" si="1"/>
        <v>0</v>
      </c>
      <c r="Q18" s="55">
        <f t="shared" si="1"/>
        <v>0</v>
      </c>
      <c r="R18" s="55" t="e">
        <f t="shared" si="1"/>
        <v>#DIV/0!</v>
      </c>
      <c r="S18" s="55"/>
      <c r="U18" s="56">
        <v>0.60416666666666663</v>
      </c>
      <c r="V18" s="54"/>
      <c r="W18" s="54"/>
      <c r="X18" s="54"/>
      <c r="Y18" s="54"/>
      <c r="Z18" s="54"/>
      <c r="AA18" s="54"/>
    </row>
    <row r="19" spans="3:32" x14ac:dyDescent="0.25">
      <c r="C19" s="56">
        <v>0.625</v>
      </c>
      <c r="D19">
        <v>95</v>
      </c>
      <c r="E19">
        <v>124</v>
      </c>
      <c r="F19">
        <v>130</v>
      </c>
      <c r="G19">
        <v>143</v>
      </c>
      <c r="H19">
        <v>135</v>
      </c>
      <c r="I19" s="54"/>
      <c r="L19" s="56">
        <v>0.625</v>
      </c>
      <c r="M19" s="55">
        <f t="shared" si="2"/>
        <v>0.10215053763440861</v>
      </c>
      <c r="N19" s="55">
        <f t="shared" si="1"/>
        <v>0.1141804788213628</v>
      </c>
      <c r="O19" s="55">
        <f t="shared" si="1"/>
        <v>0.12645914396887159</v>
      </c>
      <c r="P19" s="55">
        <f t="shared" si="1"/>
        <v>0.10491562729273661</v>
      </c>
      <c r="Q19" s="55">
        <f t="shared" si="1"/>
        <v>0.10931174089068826</v>
      </c>
      <c r="R19" s="55"/>
      <c r="S19" s="55"/>
      <c r="U19" s="56">
        <v>0.625</v>
      </c>
      <c r="V19" s="54">
        <v>989</v>
      </c>
      <c r="W19" s="54">
        <v>939.25</v>
      </c>
      <c r="X19" s="54">
        <v>840.75</v>
      </c>
      <c r="Y19" s="54">
        <v>784.4</v>
      </c>
      <c r="Z19" s="54">
        <v>926.6</v>
      </c>
      <c r="AA19" s="54"/>
      <c r="AC19" s="54"/>
    </row>
    <row r="20" spans="3:32" hidden="1" x14ac:dyDescent="0.25">
      <c r="C20" s="56">
        <v>0.64583333333333337</v>
      </c>
      <c r="D20" s="54"/>
      <c r="E20" s="54"/>
      <c r="F20" s="54"/>
      <c r="G20" s="54"/>
      <c r="H20" s="54"/>
      <c r="I20" s="54"/>
      <c r="L20" s="56">
        <v>0.64583333333333337</v>
      </c>
      <c r="M20" s="55">
        <f t="shared" si="2"/>
        <v>0</v>
      </c>
      <c r="N20" s="55">
        <f t="shared" si="1"/>
        <v>0</v>
      </c>
      <c r="O20" s="55">
        <f t="shared" si="1"/>
        <v>0</v>
      </c>
      <c r="P20" s="55">
        <f t="shared" si="1"/>
        <v>0</v>
      </c>
      <c r="Q20" s="55">
        <f t="shared" si="1"/>
        <v>0</v>
      </c>
      <c r="R20" s="55"/>
      <c r="S20" s="55"/>
      <c r="U20" s="56">
        <v>0.64583333333333337</v>
      </c>
      <c r="V20" s="54"/>
      <c r="W20" s="54"/>
      <c r="X20" s="54"/>
      <c r="Y20" s="54"/>
      <c r="Z20" s="54"/>
      <c r="AA20" s="54"/>
    </row>
    <row r="21" spans="3:32" x14ac:dyDescent="0.25">
      <c r="C21" s="56">
        <v>0.66666666666666663</v>
      </c>
      <c r="D21">
        <v>70</v>
      </c>
      <c r="E21">
        <v>101</v>
      </c>
      <c r="F21">
        <v>88</v>
      </c>
      <c r="G21">
        <v>132</v>
      </c>
      <c r="H21">
        <v>109</v>
      </c>
      <c r="I21" s="54"/>
      <c r="L21" s="56">
        <v>0.66666666666666663</v>
      </c>
      <c r="M21" s="55">
        <f t="shared" si="2"/>
        <v>7.5268817204301078E-2</v>
      </c>
      <c r="N21" s="55">
        <f t="shared" si="2"/>
        <v>9.3001841620626149E-2</v>
      </c>
      <c r="O21" s="55">
        <f t="shared" si="2"/>
        <v>8.5603112840466927E-2</v>
      </c>
      <c r="P21" s="55">
        <f t="shared" si="2"/>
        <v>9.6845194424064557E-2</v>
      </c>
      <c r="Q21" s="55">
        <f t="shared" si="2"/>
        <v>8.8259109311740885E-2</v>
      </c>
      <c r="R21" s="55"/>
      <c r="S21" s="55"/>
      <c r="U21" s="56">
        <v>0.66666666666666663</v>
      </c>
      <c r="V21" s="54">
        <v>798.33333333333337</v>
      </c>
      <c r="W21" s="54">
        <v>939</v>
      </c>
      <c r="X21" s="54">
        <v>985.75</v>
      </c>
      <c r="Y21" s="54">
        <v>952.2</v>
      </c>
      <c r="Z21" s="54">
        <v>808.4</v>
      </c>
      <c r="AC21" s="54"/>
      <c r="AF21" s="54"/>
    </row>
    <row r="22" spans="3:32" hidden="1" x14ac:dyDescent="0.25">
      <c r="C22" s="56">
        <v>0.6875</v>
      </c>
      <c r="D22" s="54"/>
      <c r="E22" s="54"/>
      <c r="F22" s="54"/>
      <c r="G22" s="54"/>
      <c r="H22" s="54"/>
      <c r="I22" s="54"/>
      <c r="L22" s="56">
        <v>0.6875</v>
      </c>
      <c r="M22" s="55">
        <f t="shared" si="2"/>
        <v>0</v>
      </c>
      <c r="N22" s="55">
        <f t="shared" si="2"/>
        <v>0</v>
      </c>
      <c r="O22" s="55">
        <f t="shared" si="2"/>
        <v>0</v>
      </c>
      <c r="P22" s="55">
        <f t="shared" si="2"/>
        <v>0</v>
      </c>
      <c r="Q22" s="55">
        <f t="shared" si="2"/>
        <v>0</v>
      </c>
      <c r="R22" s="55"/>
      <c r="S22" s="55"/>
      <c r="U22" s="56">
        <v>0.6875</v>
      </c>
      <c r="V22" s="54"/>
      <c r="W22" s="54"/>
      <c r="X22" s="54"/>
      <c r="Y22" s="54"/>
      <c r="Z22" s="54"/>
      <c r="AF22" s="54"/>
    </row>
    <row r="23" spans="3:32" x14ac:dyDescent="0.25">
      <c r="C23" s="56">
        <v>0.70833333333333337</v>
      </c>
      <c r="D23">
        <v>2</v>
      </c>
      <c r="F23">
        <v>1</v>
      </c>
      <c r="I23" s="54"/>
      <c r="L23" s="56">
        <v>0.70833333333333337</v>
      </c>
      <c r="M23" s="55">
        <f t="shared" si="2"/>
        <v>2.1505376344086021E-3</v>
      </c>
      <c r="N23" s="55">
        <f t="shared" si="2"/>
        <v>0</v>
      </c>
      <c r="O23" s="55">
        <f t="shared" si="2"/>
        <v>9.727626459143969E-4</v>
      </c>
      <c r="P23" s="55">
        <f t="shared" si="2"/>
        <v>0</v>
      </c>
      <c r="Q23" s="55">
        <f t="shared" si="2"/>
        <v>0</v>
      </c>
      <c r="R23" s="55"/>
      <c r="S23" s="55"/>
      <c r="U23" s="56">
        <v>0.70833333333333337</v>
      </c>
      <c r="V23" s="54">
        <v>1320</v>
      </c>
      <c r="W23" s="54"/>
      <c r="X23" s="54">
        <v>540</v>
      </c>
      <c r="Y23" s="54"/>
      <c r="Z23" s="54"/>
      <c r="AF23" s="54"/>
    </row>
    <row r="24" spans="3:32" ht="13.5" hidden="1" customHeight="1" x14ac:dyDescent="0.25">
      <c r="C24" s="56">
        <v>0.72916666666666663</v>
      </c>
      <c r="D24" s="54"/>
      <c r="E24" s="54"/>
      <c r="F24" s="54"/>
      <c r="G24" s="54"/>
      <c r="H24" s="54"/>
      <c r="I24" s="54"/>
      <c r="L24" s="56">
        <v>0.72916666666666663</v>
      </c>
      <c r="M24" s="55">
        <f t="shared" si="2"/>
        <v>0</v>
      </c>
      <c r="N24" s="55">
        <f t="shared" si="2"/>
        <v>0</v>
      </c>
      <c r="O24" s="55">
        <f t="shared" si="2"/>
        <v>0</v>
      </c>
      <c r="P24" s="55">
        <f t="shared" si="2"/>
        <v>0</v>
      </c>
      <c r="Q24" s="55">
        <f t="shared" si="2"/>
        <v>0</v>
      </c>
      <c r="R24" s="55"/>
      <c r="S24" s="55"/>
      <c r="U24" s="56">
        <v>0.72916666666666663</v>
      </c>
      <c r="V24" s="54"/>
      <c r="W24" s="54"/>
      <c r="X24" s="54"/>
      <c r="Y24" s="54"/>
      <c r="Z24" s="54"/>
      <c r="AF24" s="54"/>
    </row>
    <row r="25" spans="3:32" hidden="1" x14ac:dyDescent="0.25">
      <c r="C25" s="56">
        <v>0.75</v>
      </c>
      <c r="D25" s="54"/>
      <c r="E25" s="54"/>
      <c r="F25" s="54"/>
      <c r="G25" s="54"/>
      <c r="H25" s="54"/>
      <c r="I25" s="54"/>
      <c r="L25" s="56">
        <v>0.75</v>
      </c>
      <c r="M25" s="55">
        <f t="shared" si="2"/>
        <v>0</v>
      </c>
      <c r="N25" s="55">
        <f t="shared" si="2"/>
        <v>0</v>
      </c>
      <c r="O25" s="55">
        <f t="shared" si="2"/>
        <v>0</v>
      </c>
      <c r="P25" s="55">
        <f t="shared" si="2"/>
        <v>0</v>
      </c>
      <c r="Q25" s="55">
        <f t="shared" si="2"/>
        <v>0</v>
      </c>
      <c r="R25" s="55"/>
      <c r="S25" s="55"/>
      <c r="U25" s="56">
        <v>0.75</v>
      </c>
      <c r="V25" s="54"/>
      <c r="W25" s="54"/>
      <c r="X25" s="54"/>
      <c r="Y25" s="54"/>
      <c r="Z25" s="54"/>
      <c r="AF25" s="54"/>
    </row>
    <row r="26" spans="3:32" hidden="1" x14ac:dyDescent="0.25">
      <c r="C26" s="56">
        <v>0.77083333333333337</v>
      </c>
      <c r="D26" s="54"/>
      <c r="E26" s="54"/>
      <c r="F26" s="54"/>
      <c r="G26" s="54"/>
      <c r="H26" s="54"/>
      <c r="I26" s="54"/>
      <c r="L26" s="56">
        <v>0.77083333333333337</v>
      </c>
      <c r="M26" s="55">
        <f t="shared" si="2"/>
        <v>0</v>
      </c>
      <c r="N26" s="55">
        <f t="shared" si="2"/>
        <v>0</v>
      </c>
      <c r="O26" s="55">
        <f t="shared" si="2"/>
        <v>0</v>
      </c>
      <c r="P26" s="55">
        <f t="shared" si="2"/>
        <v>0</v>
      </c>
      <c r="Q26" s="55">
        <f t="shared" si="2"/>
        <v>0</v>
      </c>
      <c r="R26" s="55"/>
      <c r="S26" s="55"/>
      <c r="U26" s="56">
        <v>0.77083333333333337</v>
      </c>
      <c r="V26" s="54"/>
      <c r="W26" s="54"/>
      <c r="X26" s="54"/>
      <c r="Y26" s="54"/>
      <c r="Z26" s="54"/>
      <c r="AF26" s="54"/>
    </row>
    <row r="27" spans="3:32" hidden="1" x14ac:dyDescent="0.25">
      <c r="C27" s="56">
        <v>0.79166666666666663</v>
      </c>
      <c r="D27" s="54"/>
      <c r="E27" s="54"/>
      <c r="F27" s="54"/>
      <c r="G27" s="54"/>
      <c r="H27" s="54"/>
      <c r="I27" s="54"/>
      <c r="L27" s="56">
        <v>0.79166666666666663</v>
      </c>
      <c r="M27" s="55">
        <f t="shared" si="2"/>
        <v>0</v>
      </c>
      <c r="N27" s="55">
        <f t="shared" si="2"/>
        <v>0</v>
      </c>
      <c r="O27" s="55">
        <f t="shared" si="2"/>
        <v>0</v>
      </c>
      <c r="P27" s="55">
        <f t="shared" si="2"/>
        <v>0</v>
      </c>
      <c r="Q27" s="55">
        <f t="shared" si="2"/>
        <v>0</v>
      </c>
      <c r="R27" s="55"/>
      <c r="S27" s="55"/>
      <c r="U27" s="56">
        <v>0.79166666666666663</v>
      </c>
      <c r="V27" s="54"/>
      <c r="W27" s="54"/>
      <c r="X27" s="54"/>
      <c r="Y27" s="54"/>
      <c r="Z27" s="54"/>
      <c r="AF27" s="54"/>
    </row>
    <row r="28" spans="3:32" hidden="1" x14ac:dyDescent="0.25">
      <c r="C28" s="56">
        <v>0.8125</v>
      </c>
      <c r="D28" s="54"/>
      <c r="E28" s="54"/>
      <c r="F28" s="54"/>
      <c r="G28" s="54"/>
      <c r="H28" s="54"/>
      <c r="I28" s="54"/>
      <c r="L28" s="56">
        <v>0.8125</v>
      </c>
      <c r="M28" s="55">
        <f t="shared" si="2"/>
        <v>0</v>
      </c>
      <c r="N28" s="55">
        <f t="shared" si="2"/>
        <v>0</v>
      </c>
      <c r="O28" s="55">
        <f t="shared" si="2"/>
        <v>0</v>
      </c>
      <c r="P28" s="55">
        <f t="shared" si="2"/>
        <v>0</v>
      </c>
      <c r="Q28" s="55">
        <f t="shared" si="2"/>
        <v>0</v>
      </c>
      <c r="R28" s="55"/>
      <c r="S28" s="55"/>
      <c r="U28" s="56">
        <v>0.8125</v>
      </c>
      <c r="V28" s="54"/>
      <c r="W28" s="54"/>
      <c r="X28" s="54"/>
      <c r="Y28" s="54"/>
      <c r="Z28" s="54"/>
      <c r="AF28" s="54"/>
    </row>
    <row r="29" spans="3:32" hidden="1" x14ac:dyDescent="0.25">
      <c r="C29" s="56">
        <v>0.83333333333333337</v>
      </c>
      <c r="D29" s="54"/>
      <c r="E29" s="54"/>
      <c r="F29" s="54"/>
      <c r="G29" s="54"/>
      <c r="H29" s="54"/>
      <c r="I29" s="54"/>
      <c r="L29" s="56">
        <v>0.83333333333333337</v>
      </c>
      <c r="M29" s="55">
        <f t="shared" si="2"/>
        <v>0</v>
      </c>
      <c r="N29" s="55">
        <f t="shared" si="2"/>
        <v>0</v>
      </c>
      <c r="O29" s="55">
        <f t="shared" si="2"/>
        <v>0</v>
      </c>
      <c r="P29" s="55">
        <f t="shared" si="2"/>
        <v>0</v>
      </c>
      <c r="Q29" s="55">
        <f t="shared" si="2"/>
        <v>0</v>
      </c>
      <c r="R29" s="55"/>
      <c r="S29" s="55"/>
      <c r="U29" s="56">
        <v>0.83333333333333337</v>
      </c>
      <c r="V29" s="54"/>
      <c r="W29" s="54"/>
      <c r="X29" s="54"/>
      <c r="Y29" s="54"/>
      <c r="Z29" s="54"/>
      <c r="AF29" s="54"/>
    </row>
    <row r="30" spans="3:32" hidden="1" x14ac:dyDescent="0.25">
      <c r="C30" s="56">
        <v>0.85416666666666663</v>
      </c>
      <c r="D30" s="54"/>
      <c r="E30" s="54"/>
      <c r="F30" s="54"/>
      <c r="G30" s="54"/>
      <c r="H30" s="54"/>
      <c r="I30" s="54"/>
      <c r="L30" s="56">
        <v>0.85416666666666663</v>
      </c>
      <c r="M30" s="55">
        <f t="shared" si="2"/>
        <v>0</v>
      </c>
      <c r="N30" s="55">
        <f t="shared" si="2"/>
        <v>0</v>
      </c>
      <c r="O30" s="55">
        <f t="shared" si="2"/>
        <v>0</v>
      </c>
      <c r="P30" s="55">
        <f t="shared" si="2"/>
        <v>0</v>
      </c>
      <c r="Q30" s="55">
        <f t="shared" si="2"/>
        <v>0</v>
      </c>
      <c r="R30" s="55"/>
      <c r="S30" s="55"/>
      <c r="U30" s="56">
        <v>0.85416666666666663</v>
      </c>
      <c r="V30" s="54"/>
      <c r="W30" s="54"/>
      <c r="X30" s="54"/>
      <c r="Y30" s="54"/>
      <c r="Z30" s="54"/>
      <c r="AF30" s="54"/>
    </row>
    <row r="31" spans="3:32" x14ac:dyDescent="0.25">
      <c r="C31" s="56"/>
      <c r="D31" s="54"/>
      <c r="E31" s="54"/>
      <c r="F31" s="54"/>
      <c r="G31" s="54"/>
      <c r="H31" s="54"/>
      <c r="I31" s="54"/>
      <c r="L31" s="56"/>
      <c r="M31" s="55"/>
      <c r="N31" s="55"/>
      <c r="O31" s="55"/>
      <c r="P31" s="55"/>
      <c r="Q31" s="55"/>
      <c r="R31" s="55"/>
      <c r="S31" s="55"/>
      <c r="U31" s="56"/>
      <c r="V31" s="54"/>
      <c r="W31" s="54"/>
      <c r="X31" s="54"/>
      <c r="Y31" s="54"/>
      <c r="Z31" s="54"/>
      <c r="AF31" s="54"/>
    </row>
    <row r="32" spans="3:32" x14ac:dyDescent="0.25">
      <c r="D32" s="57">
        <f>SUM(D5:D31)</f>
        <v>930</v>
      </c>
      <c r="E32" s="57">
        <f t="shared" ref="E32:I32" si="3">SUM(E5:E31)</f>
        <v>1086</v>
      </c>
      <c r="F32" s="57">
        <f t="shared" si="3"/>
        <v>1028</v>
      </c>
      <c r="G32" s="57">
        <f t="shared" si="3"/>
        <v>1363</v>
      </c>
      <c r="H32" s="57">
        <f t="shared" si="3"/>
        <v>1235</v>
      </c>
      <c r="I32" s="57">
        <f t="shared" si="3"/>
        <v>0</v>
      </c>
      <c r="J32" s="57">
        <f>SUM(D32:I32)</f>
        <v>5642</v>
      </c>
      <c r="U32" s="56" t="s">
        <v>39</v>
      </c>
      <c r="V32" s="54">
        <f>AVERAGE(V5:Z23)</f>
        <v>913.28156028368801</v>
      </c>
    </row>
    <row r="34" spans="3:30" x14ac:dyDescent="0.25">
      <c r="D34" s="54"/>
      <c r="E34" s="54"/>
      <c r="F34" s="54"/>
      <c r="G34" s="54"/>
      <c r="H34" s="54"/>
    </row>
    <row r="36" spans="3:30" x14ac:dyDescent="0.25">
      <c r="C36" s="56"/>
      <c r="V36" s="54"/>
      <c r="W36" s="54"/>
      <c r="X36" s="54"/>
      <c r="Y36" s="54"/>
      <c r="Z36" s="54"/>
    </row>
    <row r="37" spans="3:30" x14ac:dyDescent="0.25">
      <c r="C37" s="56"/>
      <c r="AC37" t="s">
        <v>12</v>
      </c>
      <c r="AD37" s="55">
        <f>M3</f>
        <v>0.16483516483516483</v>
      </c>
    </row>
    <row r="38" spans="3:30" x14ac:dyDescent="0.25">
      <c r="C38" s="56"/>
      <c r="AC38" t="s">
        <v>13</v>
      </c>
      <c r="AD38" s="55">
        <f>N3</f>
        <v>0.19248493442041828</v>
      </c>
    </row>
    <row r="39" spans="3:30" x14ac:dyDescent="0.25">
      <c r="C39" s="56"/>
      <c r="AC39" t="s">
        <v>14</v>
      </c>
      <c r="AD39" s="55">
        <f>O3</f>
        <v>0.18220489188231123</v>
      </c>
    </row>
    <row r="40" spans="3:30" x14ac:dyDescent="0.25">
      <c r="C40" s="56"/>
      <c r="AC40" t="s">
        <v>15</v>
      </c>
      <c r="AD40" s="55">
        <f>P3</f>
        <v>0.24158099964551577</v>
      </c>
    </row>
    <row r="41" spans="3:30" x14ac:dyDescent="0.25">
      <c r="C41" s="56"/>
      <c r="AC41" t="s">
        <v>16</v>
      </c>
      <c r="AD41" s="55">
        <f>Q3</f>
        <v>0.21889400921658986</v>
      </c>
    </row>
    <row r="42" spans="3:30" x14ac:dyDescent="0.25">
      <c r="C42" s="56"/>
      <c r="AC42" t="s">
        <v>17</v>
      </c>
      <c r="AD42" s="55">
        <f>R3</f>
        <v>0</v>
      </c>
    </row>
    <row r="43" spans="3:30" x14ac:dyDescent="0.25">
      <c r="C43" s="56"/>
    </row>
    <row r="44" spans="3:30" x14ac:dyDescent="0.25">
      <c r="C44" s="56"/>
    </row>
    <row r="45" spans="3:30" x14ac:dyDescent="0.25">
      <c r="C45" s="56"/>
    </row>
    <row r="46" spans="3:30" x14ac:dyDescent="0.25">
      <c r="C46" s="56"/>
    </row>
    <row r="47" spans="3:30" x14ac:dyDescent="0.25">
      <c r="C47" s="56"/>
    </row>
    <row r="48" spans="3:30" x14ac:dyDescent="0.25">
      <c r="C48" s="56"/>
    </row>
    <row r="49" spans="3:3" x14ac:dyDescent="0.25">
      <c r="C49" s="56"/>
    </row>
    <row r="50" spans="3:3" x14ac:dyDescent="0.25">
      <c r="C50" s="56"/>
    </row>
    <row r="51" spans="3:3" x14ac:dyDescent="0.25">
      <c r="C51" s="56"/>
    </row>
    <row r="52" spans="3:3" x14ac:dyDescent="0.25">
      <c r="C52" s="56"/>
    </row>
    <row r="53" spans="3:3" x14ac:dyDescent="0.25">
      <c r="C53" s="56"/>
    </row>
    <row r="54" spans="3:3" x14ac:dyDescent="0.25">
      <c r="C54" s="56"/>
    </row>
    <row r="55" spans="3:3" x14ac:dyDescent="0.25">
      <c r="C55" s="56"/>
    </row>
    <row r="56" spans="3:3" x14ac:dyDescent="0.25">
      <c r="C56" s="56"/>
    </row>
    <row r="57" spans="3:3" x14ac:dyDescent="0.25">
      <c r="C57" s="56"/>
    </row>
    <row r="58" spans="3:3" x14ac:dyDescent="0.25">
      <c r="C58" s="56"/>
    </row>
    <row r="59" spans="3:3" x14ac:dyDescent="0.25">
      <c r="C59" s="56"/>
    </row>
    <row r="60" spans="3:3" x14ac:dyDescent="0.25">
      <c r="C60" s="56"/>
    </row>
    <row r="61" spans="3:3" x14ac:dyDescent="0.25">
      <c r="C61" s="56"/>
    </row>
    <row r="62" spans="3:3" x14ac:dyDescent="0.25">
      <c r="C62" s="56"/>
    </row>
    <row r="63" spans="3:3" x14ac:dyDescent="0.25">
      <c r="C63" s="56"/>
    </row>
    <row r="65" spans="3:14" x14ac:dyDescent="0.25">
      <c r="C65" s="56"/>
      <c r="D65" s="54"/>
      <c r="F65" s="54"/>
      <c r="H65" s="54"/>
      <c r="J65" s="54"/>
      <c r="L65" s="54"/>
      <c r="N65" s="54"/>
    </row>
    <row r="66" spans="3:14" x14ac:dyDescent="0.25">
      <c r="C66" s="56"/>
      <c r="D66" s="54"/>
      <c r="F66" s="54"/>
      <c r="H66" s="54"/>
      <c r="J66" s="54"/>
      <c r="L66" s="54"/>
      <c r="N66" s="54"/>
    </row>
    <row r="67" spans="3:14" x14ac:dyDescent="0.25">
      <c r="C67" s="56"/>
      <c r="D67" s="54"/>
      <c r="F67" s="54"/>
      <c r="H67" s="54"/>
      <c r="J67" s="54"/>
      <c r="L67" s="54"/>
      <c r="N67" s="54"/>
    </row>
    <row r="68" spans="3:14" x14ac:dyDescent="0.25">
      <c r="C68" s="56"/>
      <c r="D68" s="54"/>
      <c r="F68" s="54"/>
      <c r="H68" s="54"/>
      <c r="J68" s="54"/>
      <c r="L68" s="54"/>
      <c r="N68" s="54"/>
    </row>
    <row r="69" spans="3:14" x14ac:dyDescent="0.25">
      <c r="C69" s="56"/>
      <c r="D69" s="54"/>
      <c r="F69" s="54"/>
      <c r="H69" s="54"/>
      <c r="J69" s="54"/>
      <c r="L69" s="54"/>
      <c r="N69" s="54"/>
    </row>
    <row r="70" spans="3:14" x14ac:dyDescent="0.25">
      <c r="C70" s="56"/>
      <c r="D70" s="54"/>
      <c r="F70" s="54"/>
      <c r="H70" s="54"/>
      <c r="J70" s="54"/>
      <c r="L70" s="54"/>
      <c r="N70" s="54"/>
    </row>
    <row r="71" spans="3:14" x14ac:dyDescent="0.25">
      <c r="C71" s="56"/>
      <c r="D71" s="54"/>
      <c r="F71" s="54"/>
      <c r="H71" s="54"/>
      <c r="J71" s="54"/>
      <c r="L71" s="54"/>
      <c r="N71" s="54"/>
    </row>
    <row r="72" spans="3:14" x14ac:dyDescent="0.25">
      <c r="C72" s="56"/>
      <c r="D72" s="54"/>
      <c r="F72" s="54"/>
      <c r="H72" s="54"/>
      <c r="J72" s="54"/>
      <c r="L72" s="54"/>
      <c r="N72" s="54"/>
    </row>
    <row r="73" spans="3:14" x14ac:dyDescent="0.25">
      <c r="C73" s="56"/>
      <c r="D73" s="54"/>
      <c r="F73" s="54"/>
      <c r="H73" s="54"/>
      <c r="J73" s="54"/>
      <c r="L73" s="54"/>
      <c r="N73" s="54"/>
    </row>
    <row r="74" spans="3:14" x14ac:dyDescent="0.25">
      <c r="C74" s="56"/>
      <c r="D74" s="54"/>
      <c r="F74" s="54"/>
      <c r="H74" s="54"/>
      <c r="J74" s="54"/>
      <c r="L74" s="54"/>
      <c r="N74" s="54"/>
    </row>
    <row r="75" spans="3:14" x14ac:dyDescent="0.25">
      <c r="C75" s="56"/>
      <c r="D75" s="54"/>
      <c r="F75" s="54"/>
      <c r="H75" s="54"/>
      <c r="J75" s="54"/>
      <c r="L75" s="54"/>
      <c r="N75" s="54"/>
    </row>
    <row r="76" spans="3:14" x14ac:dyDescent="0.25">
      <c r="C76" s="56"/>
      <c r="D76" s="54"/>
      <c r="F76" s="54"/>
      <c r="H76" s="54"/>
      <c r="J76" s="54"/>
      <c r="L76" s="54"/>
      <c r="N76" s="54"/>
    </row>
    <row r="77" spans="3:14" x14ac:dyDescent="0.25">
      <c r="C77" s="56"/>
      <c r="D77" s="54"/>
      <c r="F77" s="54"/>
      <c r="H77" s="54"/>
      <c r="J77" s="54"/>
      <c r="L77" s="54"/>
      <c r="N77" s="54"/>
    </row>
    <row r="78" spans="3:14" x14ac:dyDescent="0.25">
      <c r="C78" s="56"/>
      <c r="D78" s="54"/>
      <c r="F78" s="54"/>
      <c r="H78" s="54"/>
      <c r="J78" s="54"/>
      <c r="L78" s="54"/>
      <c r="N78" s="54"/>
    </row>
    <row r="79" spans="3:14" x14ac:dyDescent="0.25">
      <c r="C79" s="56"/>
      <c r="D79" s="54"/>
      <c r="F79" s="54"/>
      <c r="H79" s="54"/>
      <c r="J79" s="54"/>
      <c r="L79" s="54"/>
      <c r="N79" s="54"/>
    </row>
    <row r="80" spans="3:14" x14ac:dyDescent="0.25">
      <c r="C80" s="56"/>
      <c r="D80" s="54"/>
      <c r="F80" s="54"/>
      <c r="H80" s="54"/>
      <c r="J80" s="54"/>
      <c r="L80" s="54"/>
      <c r="N80" s="54"/>
    </row>
    <row r="81" spans="3:14" x14ac:dyDescent="0.25">
      <c r="C81" s="56"/>
      <c r="D81" s="54"/>
      <c r="F81" s="54"/>
      <c r="H81" s="54"/>
      <c r="J81" s="54"/>
      <c r="L81" s="54"/>
      <c r="N81" s="54"/>
    </row>
    <row r="82" spans="3:14" x14ac:dyDescent="0.25">
      <c r="C82" s="56"/>
      <c r="D82" s="54"/>
      <c r="F82" s="54"/>
      <c r="H82" s="54"/>
      <c r="J82" s="54"/>
      <c r="L82" s="54"/>
      <c r="N82" s="54"/>
    </row>
    <row r="83" spans="3:14" x14ac:dyDescent="0.25">
      <c r="C83" s="56"/>
      <c r="D83" s="54"/>
      <c r="F83" s="54"/>
      <c r="H83" s="54"/>
      <c r="J83" s="54"/>
      <c r="L83" s="54"/>
      <c r="N83" s="54"/>
    </row>
    <row r="84" spans="3:14" x14ac:dyDescent="0.25">
      <c r="C84" s="56"/>
      <c r="D84" s="54"/>
      <c r="F84" s="54"/>
      <c r="H84" s="54"/>
      <c r="J84" s="54"/>
      <c r="L84" s="54"/>
      <c r="N84" s="54"/>
    </row>
    <row r="85" spans="3:14" x14ac:dyDescent="0.25">
      <c r="C85" s="56"/>
      <c r="D85" s="54"/>
      <c r="F85" s="54"/>
      <c r="H85" s="54"/>
      <c r="J85" s="54"/>
      <c r="L85" s="54"/>
      <c r="N85" s="54"/>
    </row>
    <row r="86" spans="3:14" x14ac:dyDescent="0.25">
      <c r="C86" s="56"/>
      <c r="D86" s="54"/>
      <c r="F86" s="54"/>
      <c r="H86" s="54"/>
      <c r="J86" s="54"/>
      <c r="L86" s="54"/>
      <c r="N86" s="54"/>
    </row>
    <row r="87" spans="3:14" x14ac:dyDescent="0.25">
      <c r="C87" s="56"/>
      <c r="D87" s="54"/>
      <c r="F87" s="54"/>
      <c r="H87" s="54"/>
      <c r="J87" s="54"/>
      <c r="L87" s="54"/>
      <c r="N87" s="54"/>
    </row>
    <row r="88" spans="3:14" x14ac:dyDescent="0.25">
      <c r="C88" s="56"/>
      <c r="D88" s="54"/>
      <c r="F88" s="54"/>
      <c r="H88" s="54"/>
      <c r="J88" s="54"/>
      <c r="L88" s="54"/>
      <c r="N88" s="54"/>
    </row>
    <row r="89" spans="3:14" x14ac:dyDescent="0.25">
      <c r="C89" s="56"/>
      <c r="D89" s="54"/>
      <c r="F89" s="54"/>
      <c r="H89" s="54"/>
      <c r="J89" s="54"/>
      <c r="L89" s="54"/>
      <c r="N89" s="54"/>
    </row>
    <row r="90" spans="3:14" x14ac:dyDescent="0.25">
      <c r="C90" s="56"/>
      <c r="D90" s="54"/>
      <c r="F90" s="54"/>
      <c r="H90" s="54"/>
      <c r="J90" s="54"/>
      <c r="L90" s="54"/>
      <c r="N90" s="54"/>
    </row>
    <row r="91" spans="3:14" x14ac:dyDescent="0.25">
      <c r="C91" s="56"/>
      <c r="D91" s="54"/>
      <c r="F91" s="54"/>
      <c r="H91" s="54"/>
      <c r="J91" s="54"/>
      <c r="L91" s="54"/>
      <c r="N91" s="54"/>
    </row>
  </sheetData>
  <mergeCells count="3">
    <mergeCell ref="D2:I2"/>
    <mergeCell ref="M2:R2"/>
    <mergeCell ref="U2:Z2"/>
  </mergeCells>
  <conditionalFormatting sqref="S3">
    <cfRule type="cellIs" dxfId="3" priority="1" operator="greaterThan">
      <formula>0.9999</formula>
    </cfRule>
    <cfRule type="cellIs" dxfId="2" priority="2" operator="lessThan">
      <formula>1</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1C190-6926-4B25-B7A2-2247D92CC9AD}">
  <sheetPr codeName="Sheet7"/>
  <dimension ref="A1:S43"/>
  <sheetViews>
    <sheetView topLeftCell="A10" workbookViewId="0">
      <selection activeCell="K25" sqref="K25"/>
    </sheetView>
  </sheetViews>
  <sheetFormatPr defaultRowHeight="15" x14ac:dyDescent="0.25"/>
  <cols>
    <col min="1" max="1" width="25.5703125" bestFit="1" customWidth="1"/>
    <col min="2" max="2" width="16.28515625" bestFit="1" customWidth="1"/>
    <col min="3" max="3" width="8.28515625" bestFit="1" customWidth="1"/>
    <col min="4" max="4" width="11.5703125" bestFit="1" customWidth="1"/>
    <col min="5" max="5" width="9" bestFit="1" customWidth="1"/>
    <col min="6" max="6" width="6.42578125" bestFit="1" customWidth="1"/>
    <col min="7" max="7" width="11.28515625" bestFit="1" customWidth="1"/>
    <col min="8" max="12" width="4" bestFit="1" customWidth="1"/>
    <col min="13" max="13" width="14.7109375" bestFit="1" customWidth="1"/>
    <col min="14" max="14" width="16.28515625" bestFit="1" customWidth="1"/>
    <col min="15" max="15" width="8.28515625" bestFit="1" customWidth="1"/>
    <col min="16" max="16" width="11.5703125" bestFit="1" customWidth="1"/>
    <col min="17" max="17" width="9" bestFit="1" customWidth="1"/>
    <col min="18" max="18" width="6.42578125" bestFit="1" customWidth="1"/>
    <col min="19" max="19" width="11.28515625" bestFit="1" customWidth="1"/>
    <col min="20" max="20" width="12" bestFit="1" customWidth="1"/>
    <col min="21" max="25" width="4" bestFit="1" customWidth="1"/>
    <col min="26" max="26" width="3" bestFit="1" customWidth="1"/>
    <col min="27" max="29" width="4" bestFit="1" customWidth="1"/>
    <col min="30" max="30" width="3" bestFit="1" customWidth="1"/>
    <col min="31" max="32" width="4" bestFit="1" customWidth="1"/>
    <col min="33" max="33" width="3" bestFit="1" customWidth="1"/>
    <col min="34" max="35" width="4" bestFit="1" customWidth="1"/>
    <col min="36" max="36" width="3" bestFit="1" customWidth="1"/>
    <col min="37" max="37" width="4" bestFit="1" customWidth="1"/>
    <col min="38" max="39" width="3" bestFit="1" customWidth="1"/>
    <col min="40" max="41" width="4" bestFit="1" customWidth="1"/>
    <col min="42" max="45" width="3" bestFit="1" customWidth="1"/>
    <col min="46" max="46" width="4" bestFit="1" customWidth="1"/>
    <col min="47" max="52" width="3" bestFit="1" customWidth="1"/>
    <col min="53" max="54" width="4" bestFit="1" customWidth="1"/>
    <col min="55" max="56" width="3" bestFit="1" customWidth="1"/>
    <col min="57" max="58" width="4" bestFit="1" customWidth="1"/>
    <col min="59" max="59" width="7.28515625" bestFit="1" customWidth="1"/>
    <col min="60" max="60" width="11.28515625" bestFit="1" customWidth="1"/>
  </cols>
  <sheetData>
    <row r="1" spans="1:19" x14ac:dyDescent="0.25">
      <c r="A1" s="64" t="s">
        <v>107</v>
      </c>
      <c r="B1" s="64" t="s">
        <v>67</v>
      </c>
      <c r="M1" s="64" t="s">
        <v>79</v>
      </c>
      <c r="N1" s="64" t="s">
        <v>67</v>
      </c>
    </row>
    <row r="2" spans="1:19" x14ac:dyDescent="0.25">
      <c r="A2" s="64" t="s">
        <v>68</v>
      </c>
      <c r="B2" t="s">
        <v>69</v>
      </c>
      <c r="C2" t="s">
        <v>70</v>
      </c>
      <c r="D2" t="s">
        <v>65</v>
      </c>
      <c r="E2" t="s">
        <v>71</v>
      </c>
      <c r="F2" t="s">
        <v>72</v>
      </c>
      <c r="G2" t="s">
        <v>73</v>
      </c>
      <c r="M2" s="64" t="s">
        <v>68</v>
      </c>
      <c r="N2" t="s">
        <v>69</v>
      </c>
      <c r="O2" t="s">
        <v>70</v>
      </c>
      <c r="P2" t="s">
        <v>65</v>
      </c>
      <c r="Q2" t="s">
        <v>71</v>
      </c>
      <c r="R2" t="s">
        <v>72</v>
      </c>
      <c r="S2" t="s">
        <v>73</v>
      </c>
    </row>
    <row r="3" spans="1:19" x14ac:dyDescent="0.25">
      <c r="A3" s="69">
        <v>0.33333333333333331</v>
      </c>
      <c r="B3">
        <v>54</v>
      </c>
      <c r="C3">
        <v>49</v>
      </c>
      <c r="D3">
        <v>49</v>
      </c>
      <c r="E3">
        <v>87</v>
      </c>
      <c r="F3">
        <v>79</v>
      </c>
      <c r="G3">
        <v>318</v>
      </c>
      <c r="M3" s="69">
        <v>0.33333333333333331</v>
      </c>
      <c r="N3" s="54">
        <v>926</v>
      </c>
      <c r="O3" s="54">
        <v>737</v>
      </c>
      <c r="P3" s="54">
        <v>1009</v>
      </c>
      <c r="Q3" s="54">
        <v>785.4</v>
      </c>
      <c r="R3" s="54">
        <v>1021.4</v>
      </c>
      <c r="S3" s="54">
        <v>895.04761904761904</v>
      </c>
    </row>
    <row r="4" spans="1:19" x14ac:dyDescent="0.25">
      <c r="A4" s="69">
        <v>0.375</v>
      </c>
      <c r="B4">
        <v>91</v>
      </c>
      <c r="C4">
        <v>101</v>
      </c>
      <c r="D4">
        <v>92</v>
      </c>
      <c r="E4">
        <v>143</v>
      </c>
      <c r="F4">
        <v>122</v>
      </c>
      <c r="G4">
        <v>549</v>
      </c>
      <c r="M4" s="69">
        <v>0.375</v>
      </c>
      <c r="N4" s="54">
        <v>1031</v>
      </c>
      <c r="O4" s="54">
        <v>883.75</v>
      </c>
      <c r="P4" s="54">
        <v>1087</v>
      </c>
      <c r="Q4" s="54">
        <v>859.8</v>
      </c>
      <c r="R4" s="54">
        <v>953.8</v>
      </c>
      <c r="S4" s="54">
        <v>954.47619047619048</v>
      </c>
    </row>
    <row r="5" spans="1:19" x14ac:dyDescent="0.25">
      <c r="A5" s="69">
        <v>0.41666666666666669</v>
      </c>
      <c r="B5">
        <v>113</v>
      </c>
      <c r="C5">
        <v>159</v>
      </c>
      <c r="D5">
        <v>121</v>
      </c>
      <c r="E5">
        <v>158</v>
      </c>
      <c r="F5">
        <v>165</v>
      </c>
      <c r="G5">
        <v>716</v>
      </c>
      <c r="M5" s="69">
        <v>0.41666666666666669</v>
      </c>
      <c r="N5" s="54">
        <v>807</v>
      </c>
      <c r="O5" s="54">
        <v>880.5</v>
      </c>
      <c r="P5" s="54">
        <v>854.25</v>
      </c>
      <c r="Q5" s="54">
        <v>1000</v>
      </c>
      <c r="R5" s="54">
        <v>847</v>
      </c>
      <c r="S5" s="54">
        <v>885.47619047619048</v>
      </c>
    </row>
    <row r="6" spans="1:19" x14ac:dyDescent="0.25">
      <c r="A6" s="69">
        <v>0.45833333333333331</v>
      </c>
      <c r="B6">
        <v>124</v>
      </c>
      <c r="C6">
        <v>142</v>
      </c>
      <c r="D6">
        <v>134</v>
      </c>
      <c r="E6">
        <v>172</v>
      </c>
      <c r="F6">
        <v>164</v>
      </c>
      <c r="G6">
        <v>736</v>
      </c>
      <c r="M6" s="69">
        <v>0.45833333333333331</v>
      </c>
      <c r="N6" s="54">
        <v>824.66666666666663</v>
      </c>
      <c r="O6" s="54">
        <v>876.25</v>
      </c>
      <c r="P6" s="54">
        <v>974.5</v>
      </c>
      <c r="Q6" s="54">
        <v>993</v>
      </c>
      <c r="R6" s="54">
        <v>893.8</v>
      </c>
      <c r="S6" s="54">
        <v>919.57142857142856</v>
      </c>
    </row>
    <row r="7" spans="1:19" x14ac:dyDescent="0.25">
      <c r="A7" s="69">
        <v>0.5</v>
      </c>
      <c r="B7">
        <v>138</v>
      </c>
      <c r="C7">
        <v>152</v>
      </c>
      <c r="D7">
        <v>140</v>
      </c>
      <c r="E7">
        <v>184</v>
      </c>
      <c r="F7">
        <v>183</v>
      </c>
      <c r="G7">
        <v>797</v>
      </c>
      <c r="M7" s="69">
        <v>0.5</v>
      </c>
      <c r="N7" s="54">
        <v>940.66666666666663</v>
      </c>
      <c r="O7" s="54">
        <v>884.25</v>
      </c>
      <c r="P7" s="54">
        <v>829</v>
      </c>
      <c r="Q7" s="54">
        <v>911.4</v>
      </c>
      <c r="R7" s="54">
        <v>875.2</v>
      </c>
      <c r="S7" s="54">
        <v>886.09523809523807</v>
      </c>
    </row>
    <row r="8" spans="1:19" x14ac:dyDescent="0.25">
      <c r="A8" s="69">
        <v>4.1666666666666664E-2</v>
      </c>
      <c r="B8">
        <v>127</v>
      </c>
      <c r="C8">
        <v>122</v>
      </c>
      <c r="D8">
        <v>144</v>
      </c>
      <c r="E8">
        <v>177</v>
      </c>
      <c r="F8">
        <v>152</v>
      </c>
      <c r="G8">
        <v>722</v>
      </c>
      <c r="M8" s="69">
        <v>4.1666666666666664E-2</v>
      </c>
      <c r="N8" s="54">
        <v>872.33333333333337</v>
      </c>
      <c r="O8" s="54">
        <v>947.25</v>
      </c>
      <c r="P8" s="54">
        <v>840.25</v>
      </c>
      <c r="Q8" s="54">
        <v>1262.8</v>
      </c>
      <c r="R8" s="54">
        <v>859</v>
      </c>
      <c r="S8" s="54">
        <v>970.28571428571433</v>
      </c>
    </row>
    <row r="9" spans="1:19" x14ac:dyDescent="0.25">
      <c r="A9" s="69">
        <v>8.3333333333333329E-2</v>
      </c>
      <c r="B9">
        <v>116</v>
      </c>
      <c r="C9">
        <v>136</v>
      </c>
      <c r="D9">
        <v>129</v>
      </c>
      <c r="E9">
        <v>167</v>
      </c>
      <c r="F9">
        <v>126</v>
      </c>
      <c r="G9">
        <v>674</v>
      </c>
      <c r="M9" s="69">
        <v>8.3333333333333329E-2</v>
      </c>
      <c r="N9" s="54">
        <v>982.33333333333337</v>
      </c>
      <c r="O9" s="54">
        <v>948</v>
      </c>
      <c r="P9" s="54">
        <v>881.75</v>
      </c>
      <c r="Q9" s="54">
        <v>869.4</v>
      </c>
      <c r="R9" s="54">
        <v>951.8</v>
      </c>
      <c r="S9" s="54">
        <v>922.47619047619048</v>
      </c>
    </row>
    <row r="10" spans="1:19" x14ac:dyDescent="0.25">
      <c r="A10" s="69">
        <v>0.125</v>
      </c>
      <c r="B10">
        <v>95</v>
      </c>
      <c r="C10">
        <v>124</v>
      </c>
      <c r="D10">
        <v>130</v>
      </c>
      <c r="E10">
        <v>143</v>
      </c>
      <c r="F10">
        <v>135</v>
      </c>
      <c r="G10">
        <v>627</v>
      </c>
      <c r="M10" s="69">
        <v>0.125</v>
      </c>
      <c r="N10" s="54">
        <v>989</v>
      </c>
      <c r="O10" s="54">
        <v>939.25</v>
      </c>
      <c r="P10" s="54">
        <v>840.75</v>
      </c>
      <c r="Q10" s="54">
        <v>784.4</v>
      </c>
      <c r="R10" s="54">
        <v>926.6</v>
      </c>
      <c r="S10" s="54">
        <v>887.71428571428567</v>
      </c>
    </row>
    <row r="11" spans="1:19" x14ac:dyDescent="0.25">
      <c r="A11" s="69">
        <v>0.16666666666666666</v>
      </c>
      <c r="B11">
        <v>70</v>
      </c>
      <c r="C11">
        <v>101</v>
      </c>
      <c r="D11">
        <v>88</v>
      </c>
      <c r="E11">
        <v>132</v>
      </c>
      <c r="F11">
        <v>109</v>
      </c>
      <c r="G11">
        <v>500</v>
      </c>
      <c r="M11" s="69">
        <v>0.16666666666666666</v>
      </c>
      <c r="N11" s="54">
        <v>798.33333333333337</v>
      </c>
      <c r="O11" s="54">
        <v>939</v>
      </c>
      <c r="P11" s="54">
        <v>985.75</v>
      </c>
      <c r="Q11" s="54">
        <v>952.2</v>
      </c>
      <c r="R11" s="54">
        <v>808.4</v>
      </c>
      <c r="S11" s="54">
        <v>899.85714285714289</v>
      </c>
    </row>
    <row r="12" spans="1:19" x14ac:dyDescent="0.25">
      <c r="A12" s="69">
        <v>0.20833333333333334</v>
      </c>
      <c r="B12">
        <v>2</v>
      </c>
      <c r="D12">
        <v>1</v>
      </c>
      <c r="G12">
        <v>3</v>
      </c>
      <c r="M12" s="69">
        <v>0.20833333333333334</v>
      </c>
      <c r="N12" s="54">
        <v>1320</v>
      </c>
      <c r="O12" s="54"/>
      <c r="P12" s="54">
        <v>540</v>
      </c>
      <c r="Q12" s="54"/>
      <c r="R12" s="54"/>
      <c r="S12" s="54">
        <v>1060</v>
      </c>
    </row>
    <row r="13" spans="1:19" x14ac:dyDescent="0.25">
      <c r="A13" s="24" t="s">
        <v>73</v>
      </c>
      <c r="B13">
        <v>930</v>
      </c>
      <c r="C13">
        <v>1086</v>
      </c>
      <c r="D13">
        <v>1028</v>
      </c>
      <c r="E13">
        <v>1363</v>
      </c>
      <c r="F13">
        <v>1235</v>
      </c>
      <c r="G13">
        <v>5642</v>
      </c>
      <c r="M13" s="24" t="s">
        <v>73</v>
      </c>
      <c r="N13" s="54">
        <v>936.34482758620686</v>
      </c>
      <c r="O13" s="54">
        <v>892.80555555555554</v>
      </c>
      <c r="P13" s="54">
        <v>912.1351351351351</v>
      </c>
      <c r="Q13" s="54">
        <v>935.37777777777774</v>
      </c>
      <c r="R13" s="54">
        <v>904.11111111111109</v>
      </c>
      <c r="S13" s="54">
        <v>915.734375</v>
      </c>
    </row>
    <row r="20" spans="2:4" x14ac:dyDescent="0.25">
      <c r="B20" s="64" t="s">
        <v>68</v>
      </c>
      <c r="C20" t="s">
        <v>107</v>
      </c>
      <c r="D20" t="s">
        <v>110</v>
      </c>
    </row>
    <row r="21" spans="2:4" x14ac:dyDescent="0.25">
      <c r="B21" s="24" t="s">
        <v>91</v>
      </c>
    </row>
    <row r="22" spans="2:4" x14ac:dyDescent="0.25">
      <c r="B22" s="24" t="s">
        <v>366</v>
      </c>
      <c r="C22">
        <v>297</v>
      </c>
      <c r="D22">
        <v>2</v>
      </c>
    </row>
    <row r="23" spans="2:4" x14ac:dyDescent="0.25">
      <c r="B23" s="24" t="s">
        <v>367</v>
      </c>
      <c r="C23">
        <v>269</v>
      </c>
      <c r="D23">
        <v>5</v>
      </c>
    </row>
    <row r="24" spans="2:4" x14ac:dyDescent="0.25">
      <c r="B24" s="24" t="s">
        <v>368</v>
      </c>
      <c r="C24">
        <v>370</v>
      </c>
      <c r="D24">
        <v>17</v>
      </c>
    </row>
    <row r="25" spans="2:4" x14ac:dyDescent="0.25">
      <c r="B25" s="24" t="s">
        <v>369</v>
      </c>
      <c r="C25">
        <v>280</v>
      </c>
      <c r="D25">
        <v>2</v>
      </c>
    </row>
    <row r="26" spans="2:4" x14ac:dyDescent="0.25">
      <c r="B26" s="24" t="s">
        <v>370</v>
      </c>
      <c r="C26">
        <v>257</v>
      </c>
      <c r="D26">
        <v>1</v>
      </c>
    </row>
    <row r="27" spans="2:4" x14ac:dyDescent="0.25">
      <c r="B27" s="24" t="s">
        <v>371</v>
      </c>
      <c r="C27">
        <v>242</v>
      </c>
      <c r="D27">
        <v>1</v>
      </c>
    </row>
    <row r="28" spans="2:4" x14ac:dyDescent="0.25">
      <c r="B28" s="24" t="s">
        <v>372</v>
      </c>
      <c r="C28">
        <v>272</v>
      </c>
      <c r="D28">
        <v>0</v>
      </c>
    </row>
    <row r="29" spans="2:4" x14ac:dyDescent="0.25">
      <c r="B29" s="24" t="s">
        <v>373</v>
      </c>
      <c r="C29">
        <v>304</v>
      </c>
      <c r="D29">
        <v>3</v>
      </c>
    </row>
    <row r="30" spans="2:4" x14ac:dyDescent="0.25">
      <c r="B30" s="24" t="s">
        <v>374</v>
      </c>
      <c r="C30">
        <v>208</v>
      </c>
      <c r="D30">
        <v>0</v>
      </c>
    </row>
    <row r="31" spans="2:4" x14ac:dyDescent="0.25">
      <c r="B31" s="24" t="s">
        <v>375</v>
      </c>
      <c r="C31">
        <v>267</v>
      </c>
      <c r="D31">
        <v>0</v>
      </c>
    </row>
    <row r="32" spans="2:4" x14ac:dyDescent="0.25">
      <c r="B32" s="24" t="s">
        <v>376</v>
      </c>
      <c r="C32">
        <v>284</v>
      </c>
      <c r="D32">
        <v>23</v>
      </c>
    </row>
    <row r="33" spans="2:4" x14ac:dyDescent="0.25">
      <c r="B33" s="24" t="s">
        <v>377</v>
      </c>
      <c r="C33">
        <v>262</v>
      </c>
      <c r="D33">
        <v>2</v>
      </c>
    </row>
    <row r="34" spans="2:4" x14ac:dyDescent="0.25">
      <c r="B34" s="24" t="s">
        <v>378</v>
      </c>
      <c r="C34">
        <v>256</v>
      </c>
      <c r="D34">
        <v>1</v>
      </c>
    </row>
    <row r="35" spans="2:4" x14ac:dyDescent="0.25">
      <c r="B35" s="24" t="s">
        <v>379</v>
      </c>
      <c r="C35">
        <v>288</v>
      </c>
      <c r="D35">
        <v>3</v>
      </c>
    </row>
    <row r="36" spans="2:4" x14ac:dyDescent="0.25">
      <c r="B36" s="24" t="s">
        <v>380</v>
      </c>
      <c r="C36">
        <v>234</v>
      </c>
      <c r="D36">
        <v>1</v>
      </c>
    </row>
    <row r="37" spans="2:4" x14ac:dyDescent="0.25">
      <c r="B37" s="24" t="s">
        <v>381</v>
      </c>
      <c r="C37">
        <v>235</v>
      </c>
      <c r="D37">
        <v>0</v>
      </c>
    </row>
    <row r="38" spans="2:4" x14ac:dyDescent="0.25">
      <c r="B38" s="24" t="s">
        <v>382</v>
      </c>
      <c r="C38">
        <v>210</v>
      </c>
      <c r="D38">
        <v>0</v>
      </c>
    </row>
    <row r="39" spans="2:4" x14ac:dyDescent="0.25">
      <c r="B39" s="24" t="s">
        <v>383</v>
      </c>
      <c r="C39">
        <v>310</v>
      </c>
      <c r="D39">
        <v>6</v>
      </c>
    </row>
    <row r="40" spans="2:4" x14ac:dyDescent="0.25">
      <c r="B40" s="24" t="s">
        <v>384</v>
      </c>
      <c r="C40">
        <v>270</v>
      </c>
      <c r="D40">
        <v>13</v>
      </c>
    </row>
    <row r="41" spans="2:4" x14ac:dyDescent="0.25">
      <c r="B41" s="24" t="s">
        <v>385</v>
      </c>
      <c r="C41">
        <v>305</v>
      </c>
      <c r="D41">
        <v>6</v>
      </c>
    </row>
    <row r="42" spans="2:4" x14ac:dyDescent="0.25">
      <c r="B42" s="24" t="s">
        <v>386</v>
      </c>
      <c r="C42">
        <v>222</v>
      </c>
      <c r="D42">
        <v>4</v>
      </c>
    </row>
    <row r="43" spans="2:4" x14ac:dyDescent="0.25">
      <c r="B43" s="24" t="s">
        <v>73</v>
      </c>
      <c r="C43">
        <v>5642</v>
      </c>
      <c r="D43">
        <v>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3895E-3C96-4EEA-9E1D-B608ED342A3B}">
  <sheetPr codeName="Sheet8"/>
  <dimension ref="A1:Y576"/>
  <sheetViews>
    <sheetView topLeftCell="A19" zoomScaleNormal="100" workbookViewId="0">
      <selection activeCell="C6" sqref="C6"/>
    </sheetView>
  </sheetViews>
  <sheetFormatPr defaultColWidth="13.7109375" defaultRowHeight="15" x14ac:dyDescent="0.25"/>
  <cols>
    <col min="1" max="2" width="18.28515625" customWidth="1"/>
    <col min="3" max="6" width="21.140625" customWidth="1"/>
    <col min="7" max="7" width="20.7109375" customWidth="1"/>
    <col min="8" max="8" width="17.7109375" bestFit="1" customWidth="1"/>
    <col min="9" max="9" width="16.140625" bestFit="1" customWidth="1"/>
    <col min="10" max="10" width="11" bestFit="1" customWidth="1"/>
    <col min="11" max="11" width="18.7109375" customWidth="1"/>
    <col min="12" max="13" width="18.28515625" customWidth="1"/>
    <col min="14" max="17" width="29" style="1" customWidth="1"/>
    <col min="18" max="18" width="22.85546875" customWidth="1"/>
    <col min="19" max="19" width="22.7109375" style="55" bestFit="1" customWidth="1"/>
    <col min="20" max="20" width="22.7109375" bestFit="1" customWidth="1"/>
    <col min="21" max="22" width="18.28515625" customWidth="1"/>
    <col min="23" max="23" width="29" style="1" customWidth="1"/>
    <col min="24" max="24" width="20.7109375" customWidth="1"/>
    <col min="25" max="25" width="22.7109375" style="55" customWidth="1"/>
    <col min="26" max="26" width="28.28515625" bestFit="1" customWidth="1"/>
    <col min="27" max="27" width="23.28515625" bestFit="1" customWidth="1"/>
    <col min="28" max="167" width="15.7109375" bestFit="1" customWidth="1"/>
    <col min="168" max="168" width="11" bestFit="1" customWidth="1"/>
  </cols>
  <sheetData>
    <row r="1" spans="1:25" x14ac:dyDescent="0.25">
      <c r="A1" s="59" t="s">
        <v>42</v>
      </c>
      <c r="B1" s="59" t="s">
        <v>390</v>
      </c>
      <c r="C1" s="59" t="s">
        <v>40</v>
      </c>
      <c r="D1" s="59" t="s">
        <v>56</v>
      </c>
      <c r="E1" s="59" t="s">
        <v>38</v>
      </c>
      <c r="F1" s="59" t="s">
        <v>108</v>
      </c>
      <c r="G1" s="59" t="s">
        <v>57</v>
      </c>
      <c r="H1" s="59" t="s">
        <v>58</v>
      </c>
      <c r="I1" s="59" t="s">
        <v>59</v>
      </c>
      <c r="J1" s="59" t="s">
        <v>54</v>
      </c>
      <c r="K1" s="59" t="s">
        <v>60</v>
      </c>
      <c r="L1" s="65" t="s">
        <v>83</v>
      </c>
      <c r="M1" s="59" t="s">
        <v>42</v>
      </c>
      <c r="N1" s="59" t="s">
        <v>55</v>
      </c>
      <c r="O1" s="59" t="s">
        <v>56</v>
      </c>
      <c r="P1" s="59" t="s">
        <v>109</v>
      </c>
      <c r="Q1" s="59" t="s">
        <v>61</v>
      </c>
      <c r="R1" s="59" t="s">
        <v>57</v>
      </c>
      <c r="S1" s="59" t="s">
        <v>62</v>
      </c>
      <c r="T1" s="59" t="s">
        <v>63</v>
      </c>
      <c r="U1" s="65" t="s">
        <v>83</v>
      </c>
      <c r="V1" s="59" t="s">
        <v>64</v>
      </c>
      <c r="W1" s="59" t="s">
        <v>23</v>
      </c>
      <c r="X1" s="59" t="s">
        <v>87</v>
      </c>
      <c r="Y1" s="59" t="s">
        <v>86</v>
      </c>
    </row>
    <row r="2" spans="1:25" x14ac:dyDescent="0.25">
      <c r="A2" s="61" t="str" cm="1">
        <f t="array" ref="A2">_xlfn.IFS(WEEKDAY(C2,1)=1,"Sunday",WEEKDAY(C2,1)=2,"Monday",WEEKDAY(C2,1)=3,"Tuesday",WEEKDAY(C2,1)=4,"Wednesday",WEEKDAY(C2,1)=5,"Thursday",WEEKDAY(C2,1)=6,"Friday",WEEKDAY(C2,1)=7,"Saturday")</f>
        <v>Thursday</v>
      </c>
      <c r="B2" s="61" t="s">
        <v>391</v>
      </c>
      <c r="C2" s="62">
        <f>D2</f>
        <v>44896</v>
      </c>
      <c r="D2" s="62">
        <v>44896</v>
      </c>
      <c r="E2" s="63">
        <v>0.33333333333333331</v>
      </c>
      <c r="F2" s="60" t="s">
        <v>94</v>
      </c>
      <c r="G2" s="60" t="s">
        <v>258</v>
      </c>
      <c r="H2" s="61">
        <v>4</v>
      </c>
      <c r="I2" s="61">
        <v>0</v>
      </c>
      <c r="J2" s="61">
        <v>25</v>
      </c>
      <c r="K2" s="61">
        <v>25</v>
      </c>
      <c r="L2" s="61"/>
      <c r="M2" s="61" t="str" cm="1">
        <f t="array" ref="M2">_xlfn.IFS(WEEKDAY(N2,1)=1,"Sunday",WEEKDAY(N2,1)=2,"Monday",WEEKDAY(N2,1)=3,"Tuesday",WEEKDAY(N2,1)=4,"Wednesday",WEEKDAY(N2,1)=5,"Thursday",WEEKDAY(N2,1)=6,"Friday",WEEKDAY(N2,1)=7,"Saturday")</f>
        <v>Thursday</v>
      </c>
      <c r="N2" s="62">
        <v>44896</v>
      </c>
      <c r="O2" s="63">
        <v>0.33333333333333331</v>
      </c>
      <c r="P2" s="60" t="s">
        <v>94</v>
      </c>
      <c r="Q2" s="60" t="s">
        <v>85</v>
      </c>
      <c r="R2" s="60" t="s">
        <v>190</v>
      </c>
      <c r="S2" s="68">
        <v>40</v>
      </c>
      <c r="T2" s="61">
        <v>25</v>
      </c>
      <c r="V2">
        <f t="shared" ref="V2:V65" si="0">W2*K2</f>
        <v>13500</v>
      </c>
      <c r="W2" s="1">
        <f t="shared" ref="W2:W65" si="1">CONVERT(Q2,"day","sec")</f>
        <v>540</v>
      </c>
      <c r="X2">
        <f t="shared" ref="X2:X65" si="2">CONVERT(R2,"day","sec")</f>
        <v>216</v>
      </c>
      <c r="Y2" s="55">
        <f t="shared" ref="Y2:Y33" si="3">S2/100</f>
        <v>0.4</v>
      </c>
    </row>
    <row r="3" spans="1:25" x14ac:dyDescent="0.25">
      <c r="A3" s="61" t="str" cm="1">
        <f t="array" ref="A3">_xlfn.IFS(WEEKDAY(C3,1)=1,"Sunday",WEEKDAY(C3,1)=2,"Monday",WEEKDAY(C3,1)=3,"Tuesday",WEEKDAY(C3,1)=4,"Wednesday",WEEKDAY(C3,1)=5,"Thursday",WEEKDAY(C3,1)=6,"Friday",WEEKDAY(C3,1)=7,"Saturday")</f>
        <v>Thursday</v>
      </c>
      <c r="B3" s="61" t="s">
        <v>391</v>
      </c>
      <c r="C3" s="62">
        <f t="shared" ref="C3:C66" si="4">D3</f>
        <v>44896</v>
      </c>
      <c r="D3" s="62">
        <v>44896</v>
      </c>
      <c r="E3" s="63">
        <v>0.375</v>
      </c>
      <c r="F3" s="60" t="s">
        <v>94</v>
      </c>
      <c r="G3" s="60" t="s">
        <v>349</v>
      </c>
      <c r="H3" s="61">
        <v>2</v>
      </c>
      <c r="I3" s="61">
        <v>1</v>
      </c>
      <c r="J3" s="61">
        <v>33</v>
      </c>
      <c r="K3" s="61">
        <v>34</v>
      </c>
      <c r="L3" s="61"/>
      <c r="M3" s="61" t="str" cm="1">
        <f t="array" ref="M3">_xlfn.IFS(WEEKDAY(N3,1)=1,"Sunday",WEEKDAY(N3,1)=2,"Monday",WEEKDAY(N3,1)=3,"Tuesday",WEEKDAY(N3,1)=4,"Wednesday",WEEKDAY(N3,1)=5,"Thursday",WEEKDAY(N3,1)=6,"Friday",WEEKDAY(N3,1)=7,"Saturday")</f>
        <v>Thursday</v>
      </c>
      <c r="N3" s="62">
        <v>44896</v>
      </c>
      <c r="O3" s="63">
        <v>0.375</v>
      </c>
      <c r="P3" s="60" t="s">
        <v>94</v>
      </c>
      <c r="Q3" s="60" t="s">
        <v>230</v>
      </c>
      <c r="R3" s="60" t="s">
        <v>278</v>
      </c>
      <c r="S3" s="68">
        <v>12.121212121212121</v>
      </c>
      <c r="T3" s="61">
        <v>33</v>
      </c>
      <c r="V3">
        <f t="shared" si="0"/>
        <v>27540</v>
      </c>
      <c r="W3" s="1">
        <f t="shared" si="1"/>
        <v>810</v>
      </c>
      <c r="X3">
        <f t="shared" si="2"/>
        <v>270</v>
      </c>
      <c r="Y3" s="55">
        <f t="shared" si="3"/>
        <v>0.12121212121212122</v>
      </c>
    </row>
    <row r="4" spans="1:25" x14ac:dyDescent="0.25">
      <c r="A4" s="61" t="str" cm="1">
        <f t="array" ref="A4">_xlfn.IFS(WEEKDAY(C4,1)=1,"Sunday",WEEKDAY(C4,1)=2,"Monday",WEEKDAY(C4,1)=3,"Tuesday",WEEKDAY(C4,1)=4,"Wednesday",WEEKDAY(C4,1)=5,"Thursday",WEEKDAY(C4,1)=6,"Friday",WEEKDAY(C4,1)=7,"Saturday")</f>
        <v>Thursday</v>
      </c>
      <c r="B4" s="61" t="s">
        <v>391</v>
      </c>
      <c r="C4" s="62">
        <f t="shared" si="4"/>
        <v>44896</v>
      </c>
      <c r="D4" s="62">
        <v>44896</v>
      </c>
      <c r="E4" s="63">
        <v>0.41666666666666669</v>
      </c>
      <c r="F4" s="60" t="s">
        <v>94</v>
      </c>
      <c r="G4" s="60" t="s">
        <v>131</v>
      </c>
      <c r="H4" s="61">
        <v>4</v>
      </c>
      <c r="I4" s="61">
        <v>0</v>
      </c>
      <c r="J4" s="61">
        <v>30</v>
      </c>
      <c r="K4" s="61">
        <v>30</v>
      </c>
      <c r="L4" s="61"/>
      <c r="M4" s="61" t="str" cm="1">
        <f t="array" ref="M4">_xlfn.IFS(WEEKDAY(N4,1)=1,"Sunday",WEEKDAY(N4,1)=2,"Monday",WEEKDAY(N4,1)=3,"Tuesday",WEEKDAY(N4,1)=4,"Wednesday",WEEKDAY(N4,1)=5,"Thursday",WEEKDAY(N4,1)=6,"Friday",WEEKDAY(N4,1)=7,"Saturday")</f>
        <v>Thursday</v>
      </c>
      <c r="N4" s="62">
        <v>44896</v>
      </c>
      <c r="O4" s="63">
        <v>0.41666666666666669</v>
      </c>
      <c r="P4" s="60" t="s">
        <v>94</v>
      </c>
      <c r="Q4" s="60" t="s">
        <v>279</v>
      </c>
      <c r="R4" s="60" t="s">
        <v>111</v>
      </c>
      <c r="S4" s="68">
        <v>83.333333333333343</v>
      </c>
      <c r="T4" s="61">
        <v>30</v>
      </c>
      <c r="V4">
        <f t="shared" si="0"/>
        <v>23580</v>
      </c>
      <c r="W4" s="1">
        <f t="shared" si="1"/>
        <v>786</v>
      </c>
      <c r="X4">
        <f t="shared" si="2"/>
        <v>17</v>
      </c>
      <c r="Y4" s="55">
        <f t="shared" si="3"/>
        <v>0.83333333333333348</v>
      </c>
    </row>
    <row r="5" spans="1:25" x14ac:dyDescent="0.25">
      <c r="A5" s="61" t="str" cm="1">
        <f t="array" ref="A5">_xlfn.IFS(WEEKDAY(C5,1)=1,"Sunday",WEEKDAY(C5,1)=2,"Monday",WEEKDAY(C5,1)=3,"Tuesday",WEEKDAY(C5,1)=4,"Wednesday",WEEKDAY(C5,1)=5,"Thursday",WEEKDAY(C5,1)=6,"Friday",WEEKDAY(C5,1)=7,"Saturday")</f>
        <v>Thursday</v>
      </c>
      <c r="B5" s="61" t="s">
        <v>391</v>
      </c>
      <c r="C5" s="62">
        <f t="shared" si="4"/>
        <v>44896</v>
      </c>
      <c r="D5" s="62">
        <v>44896</v>
      </c>
      <c r="E5" s="63">
        <v>0.45833333333333331</v>
      </c>
      <c r="F5" s="60" t="s">
        <v>94</v>
      </c>
      <c r="G5" s="60" t="s">
        <v>106</v>
      </c>
      <c r="H5" s="61">
        <v>2</v>
      </c>
      <c r="I5" s="61">
        <v>0</v>
      </c>
      <c r="J5" s="61">
        <v>28</v>
      </c>
      <c r="K5" s="61">
        <v>28</v>
      </c>
      <c r="L5" s="61"/>
      <c r="M5" s="61" t="str" cm="1">
        <f t="array" ref="M5">_xlfn.IFS(WEEKDAY(N5,1)=1,"Sunday",WEEKDAY(N5,1)=2,"Monday",WEEKDAY(N5,1)=3,"Tuesday",WEEKDAY(N5,1)=4,"Wednesday",WEEKDAY(N5,1)=5,"Thursday",WEEKDAY(N5,1)=6,"Friday",WEEKDAY(N5,1)=7,"Saturday")</f>
        <v>Thursday</v>
      </c>
      <c r="N5" s="62">
        <v>44896</v>
      </c>
      <c r="O5" s="63">
        <v>0.45833333333333331</v>
      </c>
      <c r="P5" s="60" t="s">
        <v>94</v>
      </c>
      <c r="Q5" s="60" t="s">
        <v>280</v>
      </c>
      <c r="R5" s="60" t="s">
        <v>124</v>
      </c>
      <c r="S5" s="68">
        <v>92.857142857142861</v>
      </c>
      <c r="T5" s="61">
        <v>28</v>
      </c>
      <c r="V5">
        <f t="shared" si="0"/>
        <v>33460.000000000007</v>
      </c>
      <c r="W5" s="1">
        <f t="shared" si="1"/>
        <v>1195.0000000000002</v>
      </c>
      <c r="X5">
        <f t="shared" si="2"/>
        <v>10.999999999999998</v>
      </c>
      <c r="Y5" s="55">
        <f t="shared" si="3"/>
        <v>0.9285714285714286</v>
      </c>
    </row>
    <row r="6" spans="1:25" x14ac:dyDescent="0.25">
      <c r="A6" s="61" t="str" cm="1">
        <f t="array" ref="A6">_xlfn.IFS(WEEKDAY(C6,1)=1,"Sunday",WEEKDAY(C6,1)=2,"Monday",WEEKDAY(C6,1)=3,"Tuesday",WEEKDAY(C6,1)=4,"Wednesday",WEEKDAY(C6,1)=5,"Thursday",WEEKDAY(C6,1)=6,"Friday",WEEKDAY(C6,1)=7,"Saturday")</f>
        <v>Thursday</v>
      </c>
      <c r="B6" s="61" t="s">
        <v>391</v>
      </c>
      <c r="C6" s="62">
        <f t="shared" si="4"/>
        <v>44896</v>
      </c>
      <c r="D6" s="62">
        <v>44896</v>
      </c>
      <c r="E6" s="63">
        <v>0.5</v>
      </c>
      <c r="F6" s="60" t="s">
        <v>95</v>
      </c>
      <c r="G6" s="60" t="s">
        <v>350</v>
      </c>
      <c r="H6" s="61">
        <v>5</v>
      </c>
      <c r="I6" s="61">
        <v>1</v>
      </c>
      <c r="J6" s="61">
        <v>50</v>
      </c>
      <c r="K6" s="61">
        <v>51</v>
      </c>
      <c r="L6" s="61"/>
      <c r="M6" s="61" t="str" cm="1">
        <f t="array" ref="M6">_xlfn.IFS(WEEKDAY(N6,1)=1,"Sunday",WEEKDAY(N6,1)=2,"Monday",WEEKDAY(N6,1)=3,"Tuesday",WEEKDAY(N6,1)=4,"Wednesday",WEEKDAY(N6,1)=5,"Thursday",WEEKDAY(N6,1)=6,"Friday",WEEKDAY(N6,1)=7,"Saturday")</f>
        <v>Thursday</v>
      </c>
      <c r="N6" s="62">
        <v>44896</v>
      </c>
      <c r="O6" s="63">
        <v>0.5</v>
      </c>
      <c r="P6" s="60" t="s">
        <v>95</v>
      </c>
      <c r="Q6" s="60" t="s">
        <v>251</v>
      </c>
      <c r="R6" s="60" t="s">
        <v>281</v>
      </c>
      <c r="S6" s="68">
        <v>60</v>
      </c>
      <c r="T6" s="61">
        <v>50</v>
      </c>
      <c r="V6">
        <f t="shared" si="0"/>
        <v>44421</v>
      </c>
      <c r="W6" s="1">
        <f t="shared" si="1"/>
        <v>871</v>
      </c>
      <c r="X6">
        <f t="shared" si="2"/>
        <v>131</v>
      </c>
      <c r="Y6" s="55">
        <f t="shared" si="3"/>
        <v>0.6</v>
      </c>
    </row>
    <row r="7" spans="1:25" x14ac:dyDescent="0.25">
      <c r="A7" s="61" t="str" cm="1">
        <f t="array" ref="A7">_xlfn.IFS(WEEKDAY(C7,1)=1,"Sunday",WEEKDAY(C7,1)=2,"Monday",WEEKDAY(C7,1)=3,"Tuesday",WEEKDAY(C7,1)=4,"Wednesday",WEEKDAY(C7,1)=5,"Thursday",WEEKDAY(C7,1)=6,"Friday",WEEKDAY(C7,1)=7,"Saturday")</f>
        <v>Thursday</v>
      </c>
      <c r="B7" s="61" t="s">
        <v>391</v>
      </c>
      <c r="C7" s="62">
        <f t="shared" si="4"/>
        <v>44896</v>
      </c>
      <c r="D7" s="62">
        <v>44896</v>
      </c>
      <c r="E7" s="63">
        <v>4.1666666666666664E-2</v>
      </c>
      <c r="F7" s="60" t="s">
        <v>95</v>
      </c>
      <c r="G7" s="60" t="s">
        <v>192</v>
      </c>
      <c r="H7" s="61">
        <v>3</v>
      </c>
      <c r="I7" s="61">
        <v>0</v>
      </c>
      <c r="J7" s="61">
        <v>36</v>
      </c>
      <c r="K7" s="61">
        <v>36</v>
      </c>
      <c r="L7" s="61"/>
      <c r="M7" s="61" t="str" cm="1">
        <f t="array" ref="M7">_xlfn.IFS(WEEKDAY(N7,1)=1,"Sunday",WEEKDAY(N7,1)=2,"Monday",WEEKDAY(N7,1)=3,"Tuesday",WEEKDAY(N7,1)=4,"Wednesday",WEEKDAY(N7,1)=5,"Thursday",WEEKDAY(N7,1)=6,"Friday",WEEKDAY(N7,1)=7,"Saturday")</f>
        <v>Thursday</v>
      </c>
      <c r="N7" s="62">
        <v>44896</v>
      </c>
      <c r="O7" s="63">
        <v>4.1666666666666664E-2</v>
      </c>
      <c r="P7" s="60" t="s">
        <v>95</v>
      </c>
      <c r="Q7" s="60" t="s">
        <v>122</v>
      </c>
      <c r="R7" s="60" t="s">
        <v>151</v>
      </c>
      <c r="S7" s="68">
        <v>86.111111111111114</v>
      </c>
      <c r="T7" s="61">
        <v>36</v>
      </c>
      <c r="V7">
        <f t="shared" si="0"/>
        <v>35100</v>
      </c>
      <c r="W7" s="1">
        <f t="shared" si="1"/>
        <v>975</v>
      </c>
      <c r="X7">
        <f t="shared" si="2"/>
        <v>24</v>
      </c>
      <c r="Y7" s="55">
        <f t="shared" si="3"/>
        <v>0.86111111111111116</v>
      </c>
    </row>
    <row r="8" spans="1:25" x14ac:dyDescent="0.25">
      <c r="A8" s="61" t="str" cm="1">
        <f t="array" ref="A8">_xlfn.IFS(WEEKDAY(C8,1)=1,"Sunday",WEEKDAY(C8,1)=2,"Monday",WEEKDAY(C8,1)=3,"Tuesday",WEEKDAY(C8,1)=4,"Wednesday",WEEKDAY(C8,1)=5,"Thursday",WEEKDAY(C8,1)=6,"Friday",WEEKDAY(C8,1)=7,"Saturday")</f>
        <v>Thursday</v>
      </c>
      <c r="B8" s="61" t="s">
        <v>391</v>
      </c>
      <c r="C8" s="62">
        <f t="shared" si="4"/>
        <v>44896</v>
      </c>
      <c r="D8" s="62">
        <v>44896</v>
      </c>
      <c r="E8" s="63">
        <v>8.3333333333333329E-2</v>
      </c>
      <c r="F8" s="60" t="s">
        <v>95</v>
      </c>
      <c r="G8" s="60" t="s">
        <v>138</v>
      </c>
      <c r="H8" s="61">
        <v>2</v>
      </c>
      <c r="I8" s="61">
        <v>0</v>
      </c>
      <c r="J8" s="61">
        <v>37</v>
      </c>
      <c r="K8" s="61">
        <v>37</v>
      </c>
      <c r="L8" s="61"/>
      <c r="M8" s="61" t="str" cm="1">
        <f t="array" ref="M8">_xlfn.IFS(WEEKDAY(N8,1)=1,"Sunday",WEEKDAY(N8,1)=2,"Monday",WEEKDAY(N8,1)=3,"Tuesday",WEEKDAY(N8,1)=4,"Wednesday",WEEKDAY(N8,1)=5,"Thursday",WEEKDAY(N8,1)=6,"Friday",WEEKDAY(N8,1)=7,"Saturday")</f>
        <v>Thursday</v>
      </c>
      <c r="N8" s="62">
        <v>44896</v>
      </c>
      <c r="O8" s="63">
        <v>8.3333333333333329E-2</v>
      </c>
      <c r="P8" s="60" t="s">
        <v>95</v>
      </c>
      <c r="Q8" s="60" t="s">
        <v>147</v>
      </c>
      <c r="R8" s="60" t="s">
        <v>125</v>
      </c>
      <c r="S8" s="68">
        <v>91.891891891891902</v>
      </c>
      <c r="T8" s="61">
        <v>37</v>
      </c>
      <c r="V8">
        <f t="shared" si="0"/>
        <v>29563</v>
      </c>
      <c r="W8" s="1">
        <f t="shared" si="1"/>
        <v>799</v>
      </c>
      <c r="X8">
        <f t="shared" si="2"/>
        <v>13.000000000000002</v>
      </c>
      <c r="Y8" s="55">
        <f t="shared" si="3"/>
        <v>0.91891891891891897</v>
      </c>
    </row>
    <row r="9" spans="1:25" x14ac:dyDescent="0.25">
      <c r="A9" s="61" t="str" cm="1">
        <f t="array" ref="A9">_xlfn.IFS(WEEKDAY(C9,1)=1,"Sunday",WEEKDAY(C9,1)=2,"Monday",WEEKDAY(C9,1)=3,"Tuesday",WEEKDAY(C9,1)=4,"Wednesday",WEEKDAY(C9,1)=5,"Thursday",WEEKDAY(C9,1)=6,"Friday",WEEKDAY(C9,1)=7,"Saturday")</f>
        <v>Thursday</v>
      </c>
      <c r="B9" s="61" t="s">
        <v>391</v>
      </c>
      <c r="C9" s="62">
        <f t="shared" si="4"/>
        <v>44896</v>
      </c>
      <c r="D9" s="62">
        <v>44896</v>
      </c>
      <c r="E9" s="63">
        <v>0.125</v>
      </c>
      <c r="F9" s="60" t="s">
        <v>95</v>
      </c>
      <c r="G9" s="60" t="s">
        <v>159</v>
      </c>
      <c r="H9" s="61">
        <v>4</v>
      </c>
      <c r="I9" s="61">
        <v>0</v>
      </c>
      <c r="J9" s="61">
        <v>28</v>
      </c>
      <c r="K9" s="61">
        <v>28</v>
      </c>
      <c r="L9" s="61"/>
      <c r="M9" s="61" t="str" cm="1">
        <f t="array" ref="M9">_xlfn.IFS(WEEKDAY(N9,1)=1,"Sunday",WEEKDAY(N9,1)=2,"Monday",WEEKDAY(N9,1)=3,"Tuesday",WEEKDAY(N9,1)=4,"Wednesday",WEEKDAY(N9,1)=5,"Thursday",WEEKDAY(N9,1)=6,"Friday",WEEKDAY(N9,1)=7,"Saturday")</f>
        <v>Thursday</v>
      </c>
      <c r="N9" s="62">
        <v>44896</v>
      </c>
      <c r="O9" s="63">
        <v>0.125</v>
      </c>
      <c r="P9" s="60" t="s">
        <v>95</v>
      </c>
      <c r="Q9" s="60" t="s">
        <v>230</v>
      </c>
      <c r="R9" s="60" t="s">
        <v>126</v>
      </c>
      <c r="S9" s="68">
        <v>78.571428571428569</v>
      </c>
      <c r="T9" s="61">
        <v>28</v>
      </c>
      <c r="V9">
        <f t="shared" si="0"/>
        <v>22680</v>
      </c>
      <c r="W9" s="1">
        <f t="shared" si="1"/>
        <v>810</v>
      </c>
      <c r="X9">
        <f t="shared" si="2"/>
        <v>21.999999999999996</v>
      </c>
      <c r="Y9" s="55">
        <f t="shared" si="3"/>
        <v>0.7857142857142857</v>
      </c>
    </row>
    <row r="10" spans="1:25" x14ac:dyDescent="0.25">
      <c r="A10" s="61" t="str" cm="1">
        <f t="array" ref="A10">_xlfn.IFS(WEEKDAY(C10,1)=1,"Sunday",WEEKDAY(C10,1)=2,"Monday",WEEKDAY(C10,1)=3,"Tuesday",WEEKDAY(C10,1)=4,"Wednesday",WEEKDAY(C10,1)=5,"Thursday",WEEKDAY(C10,1)=6,"Friday",WEEKDAY(C10,1)=7,"Saturday")</f>
        <v>Thursday</v>
      </c>
      <c r="B10" s="61" t="s">
        <v>391</v>
      </c>
      <c r="C10" s="62">
        <f t="shared" si="4"/>
        <v>44896</v>
      </c>
      <c r="D10" s="62">
        <v>44896</v>
      </c>
      <c r="E10" s="63">
        <v>0.16666666666666666</v>
      </c>
      <c r="F10" s="60" t="s">
        <v>95</v>
      </c>
      <c r="G10" s="60" t="s">
        <v>351</v>
      </c>
      <c r="H10" s="61">
        <v>2</v>
      </c>
      <c r="I10" s="61">
        <v>0</v>
      </c>
      <c r="J10" s="61">
        <v>28</v>
      </c>
      <c r="K10" s="61">
        <v>28</v>
      </c>
      <c r="L10" s="61"/>
      <c r="M10" s="61" t="str" cm="1">
        <f t="array" ref="M10">_xlfn.IFS(WEEKDAY(N10,1)=1,"Sunday",WEEKDAY(N10,1)=2,"Monday",WEEKDAY(N10,1)=3,"Tuesday",WEEKDAY(N10,1)=4,"Wednesday",WEEKDAY(N10,1)=5,"Thursday",WEEKDAY(N10,1)=6,"Friday",WEEKDAY(N10,1)=7,"Saturday")</f>
        <v>Thursday</v>
      </c>
      <c r="N10" s="62">
        <v>44896</v>
      </c>
      <c r="O10" s="63">
        <v>0.16666666666666666</v>
      </c>
      <c r="P10" s="60" t="s">
        <v>95</v>
      </c>
      <c r="Q10" s="60" t="s">
        <v>153</v>
      </c>
      <c r="R10" s="60" t="s">
        <v>184</v>
      </c>
      <c r="S10" s="68">
        <v>64.285714285714292</v>
      </c>
      <c r="T10" s="61">
        <v>28</v>
      </c>
      <c r="V10">
        <f t="shared" si="0"/>
        <v>26040.000000000004</v>
      </c>
      <c r="W10" s="1">
        <f t="shared" si="1"/>
        <v>930.00000000000011</v>
      </c>
      <c r="X10">
        <f t="shared" si="2"/>
        <v>149.00000000000003</v>
      </c>
      <c r="Y10" s="55">
        <f t="shared" si="3"/>
        <v>0.6428571428571429</v>
      </c>
    </row>
    <row r="11" spans="1:25" x14ac:dyDescent="0.25">
      <c r="A11" s="61" t="str" cm="1">
        <f t="array" ref="A11">_xlfn.IFS(WEEKDAY(C11,1)=1,"Sunday",WEEKDAY(C11,1)=2,"Monday",WEEKDAY(C11,1)=3,"Tuesday",WEEKDAY(C11,1)=4,"Wednesday",WEEKDAY(C11,1)=5,"Thursday",WEEKDAY(C11,1)=6,"Friday",WEEKDAY(C11,1)=7,"Saturday")</f>
        <v>Friday</v>
      </c>
      <c r="B11" s="61" t="s">
        <v>391</v>
      </c>
      <c r="C11" s="62">
        <f t="shared" si="4"/>
        <v>44897</v>
      </c>
      <c r="D11" s="62">
        <v>44897</v>
      </c>
      <c r="E11" s="63">
        <v>0.33333333333333331</v>
      </c>
      <c r="F11" s="60" t="s">
        <v>94</v>
      </c>
      <c r="G11" t="s">
        <v>106</v>
      </c>
      <c r="H11" s="61">
        <v>1</v>
      </c>
      <c r="I11" s="61">
        <v>0</v>
      </c>
      <c r="J11" s="61">
        <v>24</v>
      </c>
      <c r="K11" s="61">
        <v>24</v>
      </c>
      <c r="L11" s="61"/>
      <c r="M11" s="61" t="str" cm="1">
        <f t="array" ref="M11">_xlfn.IFS(WEEKDAY(N11,1)=1,"Sunday",WEEKDAY(N11,1)=2,"Monday",WEEKDAY(N11,1)=3,"Tuesday",WEEKDAY(N11,1)=4,"Wednesday",WEEKDAY(N11,1)=5,"Thursday",WEEKDAY(N11,1)=6,"Friday",WEEKDAY(N11,1)=7,"Saturday")</f>
        <v>Friday</v>
      </c>
      <c r="N11" s="62">
        <v>44897</v>
      </c>
      <c r="O11" s="63">
        <v>0.33333333333333331</v>
      </c>
      <c r="P11" s="60" t="s">
        <v>94</v>
      </c>
      <c r="Q11" s="60" t="s">
        <v>217</v>
      </c>
      <c r="R11" s="60" t="s">
        <v>124</v>
      </c>
      <c r="S11" s="68">
        <v>95.833333333333343</v>
      </c>
      <c r="T11" s="61">
        <v>24</v>
      </c>
      <c r="V11">
        <f t="shared" si="0"/>
        <v>25728</v>
      </c>
      <c r="W11" s="1">
        <f t="shared" si="1"/>
        <v>1072</v>
      </c>
      <c r="X11">
        <f t="shared" si="2"/>
        <v>10.999999999999998</v>
      </c>
      <c r="Y11" s="55">
        <f t="shared" si="3"/>
        <v>0.95833333333333348</v>
      </c>
    </row>
    <row r="12" spans="1:25" x14ac:dyDescent="0.25">
      <c r="A12" s="61" t="str" cm="1">
        <f t="array" ref="A12">_xlfn.IFS(WEEKDAY(C12,1)=1,"Sunday",WEEKDAY(C12,1)=2,"Monday",WEEKDAY(C12,1)=3,"Tuesday",WEEKDAY(C12,1)=4,"Wednesday",WEEKDAY(C12,1)=5,"Thursday",WEEKDAY(C12,1)=6,"Friday",WEEKDAY(C12,1)=7,"Saturday")</f>
        <v>Friday</v>
      </c>
      <c r="B12" s="61" t="s">
        <v>391</v>
      </c>
      <c r="C12" s="62">
        <f t="shared" si="4"/>
        <v>44897</v>
      </c>
      <c r="D12" s="62">
        <v>44897</v>
      </c>
      <c r="E12" s="63">
        <v>0.375</v>
      </c>
      <c r="F12" s="60" t="s">
        <v>94</v>
      </c>
      <c r="G12" s="60" t="s">
        <v>194</v>
      </c>
      <c r="H12" s="61">
        <v>2</v>
      </c>
      <c r="I12" s="61">
        <v>0</v>
      </c>
      <c r="J12" s="61">
        <v>27</v>
      </c>
      <c r="K12" s="61">
        <v>27</v>
      </c>
      <c r="L12" s="61"/>
      <c r="M12" s="61" t="str" cm="1">
        <f t="array" ref="M12">_xlfn.IFS(WEEKDAY(N12,1)=1,"Sunday",WEEKDAY(N12,1)=2,"Monday",WEEKDAY(N12,1)=3,"Tuesday",WEEKDAY(N12,1)=4,"Wednesday",WEEKDAY(N12,1)=5,"Thursday",WEEKDAY(N12,1)=6,"Friday",WEEKDAY(N12,1)=7,"Saturday")</f>
        <v>Friday</v>
      </c>
      <c r="N12" s="62">
        <v>44897</v>
      </c>
      <c r="O12" s="63">
        <v>0.375</v>
      </c>
      <c r="P12" s="60" t="s">
        <v>94</v>
      </c>
      <c r="Q12" s="60" t="s">
        <v>282</v>
      </c>
      <c r="R12" s="60" t="s">
        <v>165</v>
      </c>
      <c r="S12" s="68">
        <v>74.074074074074076</v>
      </c>
      <c r="T12" s="61">
        <v>27</v>
      </c>
      <c r="V12">
        <f t="shared" si="0"/>
        <v>18468.000000000004</v>
      </c>
      <c r="W12" s="1">
        <f t="shared" si="1"/>
        <v>684.00000000000011</v>
      </c>
      <c r="X12">
        <f t="shared" si="2"/>
        <v>45</v>
      </c>
      <c r="Y12" s="55">
        <f t="shared" si="3"/>
        <v>0.74074074074074081</v>
      </c>
    </row>
    <row r="13" spans="1:25" x14ac:dyDescent="0.25">
      <c r="A13" s="61" t="str" cm="1">
        <f t="array" ref="A13">_xlfn.IFS(WEEKDAY(C13,1)=1,"Sunday",WEEKDAY(C13,1)=2,"Monday",WEEKDAY(C13,1)=3,"Tuesday",WEEKDAY(C13,1)=4,"Wednesday",WEEKDAY(C13,1)=5,"Thursday",WEEKDAY(C13,1)=6,"Friday",WEEKDAY(C13,1)=7,"Saturday")</f>
        <v>Friday</v>
      </c>
      <c r="B13" s="61" t="s">
        <v>391</v>
      </c>
      <c r="C13" s="62">
        <f t="shared" si="4"/>
        <v>44897</v>
      </c>
      <c r="D13" s="62">
        <v>44897</v>
      </c>
      <c r="E13" s="63">
        <v>0.41666666666666669</v>
      </c>
      <c r="F13" s="60" t="s">
        <v>94</v>
      </c>
      <c r="G13" s="60" t="s">
        <v>137</v>
      </c>
      <c r="H13" s="61">
        <v>2</v>
      </c>
      <c r="I13" s="61">
        <v>0</v>
      </c>
      <c r="J13" s="61">
        <v>45</v>
      </c>
      <c r="K13" s="61">
        <v>45</v>
      </c>
      <c r="L13" s="61"/>
      <c r="M13" s="61" t="str" cm="1">
        <f t="array" ref="M13">_xlfn.IFS(WEEKDAY(N13,1)=1,"Sunday",WEEKDAY(N13,1)=2,"Monday",WEEKDAY(N13,1)=3,"Tuesday",WEEKDAY(N13,1)=4,"Wednesday",WEEKDAY(N13,1)=5,"Thursday",WEEKDAY(N13,1)=6,"Friday",WEEKDAY(N13,1)=7,"Saturday")</f>
        <v>Friday</v>
      </c>
      <c r="N13" s="62">
        <v>44897</v>
      </c>
      <c r="O13" s="63">
        <v>0.41666666666666669</v>
      </c>
      <c r="P13" s="60" t="s">
        <v>94</v>
      </c>
      <c r="Q13" s="60" t="s">
        <v>179</v>
      </c>
      <c r="R13" s="60" t="s">
        <v>249</v>
      </c>
      <c r="S13" s="68">
        <v>82.222222222222214</v>
      </c>
      <c r="T13" s="61">
        <v>45</v>
      </c>
      <c r="V13">
        <f t="shared" si="0"/>
        <v>36585.000000000007</v>
      </c>
      <c r="W13" s="1">
        <f t="shared" si="1"/>
        <v>813.00000000000011</v>
      </c>
      <c r="X13">
        <f t="shared" si="2"/>
        <v>63</v>
      </c>
      <c r="Y13" s="55">
        <f t="shared" si="3"/>
        <v>0.82222222222222219</v>
      </c>
    </row>
    <row r="14" spans="1:25" x14ac:dyDescent="0.25">
      <c r="A14" s="61" t="str" cm="1">
        <f t="array" ref="A14">_xlfn.IFS(WEEKDAY(C14,1)=1,"Sunday",WEEKDAY(C14,1)=2,"Monday",WEEKDAY(C14,1)=3,"Tuesday",WEEKDAY(C14,1)=4,"Wednesday",WEEKDAY(C14,1)=5,"Thursday",WEEKDAY(C14,1)=6,"Friday",WEEKDAY(C14,1)=7,"Saturday")</f>
        <v>Friday</v>
      </c>
      <c r="B14" s="61" t="s">
        <v>391</v>
      </c>
      <c r="C14" s="62">
        <f t="shared" si="4"/>
        <v>44897</v>
      </c>
      <c r="D14" s="62">
        <v>44897</v>
      </c>
      <c r="E14" s="63">
        <v>0.45833333333333331</v>
      </c>
      <c r="F14" s="60" t="s">
        <v>94</v>
      </c>
      <c r="G14" s="60" t="s">
        <v>123</v>
      </c>
      <c r="H14" s="61">
        <v>3</v>
      </c>
      <c r="I14" s="61">
        <v>0</v>
      </c>
      <c r="J14" s="61">
        <v>34</v>
      </c>
      <c r="K14" s="61">
        <v>34</v>
      </c>
      <c r="L14" s="61"/>
      <c r="M14" s="61" t="str" cm="1">
        <f t="array" ref="M14">_xlfn.IFS(WEEKDAY(N14,1)=1,"Sunday",WEEKDAY(N14,1)=2,"Monday",WEEKDAY(N14,1)=3,"Tuesday",WEEKDAY(N14,1)=4,"Wednesday",WEEKDAY(N14,1)=5,"Thursday",WEEKDAY(N14,1)=6,"Friday",WEEKDAY(N14,1)=7,"Saturday")</f>
        <v>Friday</v>
      </c>
      <c r="N14" s="62">
        <v>44897</v>
      </c>
      <c r="O14" s="63">
        <v>0.45833333333333331</v>
      </c>
      <c r="P14" s="60" t="s">
        <v>94</v>
      </c>
      <c r="Q14" s="60" t="s">
        <v>248</v>
      </c>
      <c r="R14" s="60" t="s">
        <v>134</v>
      </c>
      <c r="S14" s="68">
        <v>88.235294117647058</v>
      </c>
      <c r="T14" s="61">
        <v>34</v>
      </c>
      <c r="V14">
        <f t="shared" si="0"/>
        <v>30294</v>
      </c>
      <c r="W14" s="1">
        <f t="shared" si="1"/>
        <v>891</v>
      </c>
      <c r="X14">
        <f t="shared" si="2"/>
        <v>20</v>
      </c>
      <c r="Y14" s="55">
        <f t="shared" si="3"/>
        <v>0.88235294117647056</v>
      </c>
    </row>
    <row r="15" spans="1:25" x14ac:dyDescent="0.25">
      <c r="A15" s="61" t="str" cm="1">
        <f t="array" ref="A15">_xlfn.IFS(WEEKDAY(C15,1)=1,"Sunday",WEEKDAY(C15,1)=2,"Monday",WEEKDAY(C15,1)=3,"Tuesday",WEEKDAY(C15,1)=4,"Wednesday",WEEKDAY(C15,1)=5,"Thursday",WEEKDAY(C15,1)=6,"Friday",WEEKDAY(C15,1)=7,"Saturday")</f>
        <v>Friday</v>
      </c>
      <c r="B15" s="61" t="s">
        <v>391</v>
      </c>
      <c r="C15" s="62">
        <f t="shared" si="4"/>
        <v>44897</v>
      </c>
      <c r="D15" s="62">
        <v>44897</v>
      </c>
      <c r="E15" s="63">
        <v>0.5</v>
      </c>
      <c r="F15" s="60" t="s">
        <v>95</v>
      </c>
      <c r="G15" s="60" t="s">
        <v>352</v>
      </c>
      <c r="H15" s="61">
        <v>2</v>
      </c>
      <c r="I15" s="61">
        <v>1</v>
      </c>
      <c r="J15" s="61">
        <v>30</v>
      </c>
      <c r="K15" s="61">
        <v>31</v>
      </c>
      <c r="L15" s="61"/>
      <c r="M15" s="61" t="str" cm="1">
        <f t="array" ref="M15">_xlfn.IFS(WEEKDAY(N15,1)=1,"Sunday",WEEKDAY(N15,1)=2,"Monday",WEEKDAY(N15,1)=3,"Tuesday",WEEKDAY(N15,1)=4,"Wednesday",WEEKDAY(N15,1)=5,"Thursday",WEEKDAY(N15,1)=6,"Friday",WEEKDAY(N15,1)=7,"Saturday")</f>
        <v>Friday</v>
      </c>
      <c r="N15" s="62">
        <v>44897</v>
      </c>
      <c r="O15" s="63">
        <v>0.5</v>
      </c>
      <c r="P15" s="60" t="s">
        <v>95</v>
      </c>
      <c r="Q15" s="60" t="s">
        <v>177</v>
      </c>
      <c r="R15" s="60" t="s">
        <v>207</v>
      </c>
      <c r="S15" s="68">
        <v>30</v>
      </c>
      <c r="T15" s="61">
        <v>30</v>
      </c>
      <c r="V15">
        <f t="shared" si="0"/>
        <v>29511.999999999996</v>
      </c>
      <c r="W15" s="1">
        <f t="shared" si="1"/>
        <v>951.99999999999989</v>
      </c>
      <c r="X15">
        <f t="shared" si="2"/>
        <v>502.00000000000006</v>
      </c>
      <c r="Y15" s="55">
        <f t="shared" si="3"/>
        <v>0.3</v>
      </c>
    </row>
    <row r="16" spans="1:25" x14ac:dyDescent="0.25">
      <c r="A16" s="61" t="str" cm="1">
        <f t="array" ref="A16">_xlfn.IFS(WEEKDAY(C16,1)=1,"Sunday",WEEKDAY(C16,1)=2,"Monday",WEEKDAY(C16,1)=3,"Tuesday",WEEKDAY(C16,1)=4,"Wednesday",WEEKDAY(C16,1)=5,"Thursday",WEEKDAY(C16,1)=6,"Friday",WEEKDAY(C16,1)=7,"Saturday")</f>
        <v>Friday</v>
      </c>
      <c r="B16" s="61" t="s">
        <v>391</v>
      </c>
      <c r="C16" s="62">
        <f t="shared" si="4"/>
        <v>44897</v>
      </c>
      <c r="D16" s="62">
        <v>44897</v>
      </c>
      <c r="E16" s="63">
        <v>4.1666666666666664E-2</v>
      </c>
      <c r="F16" s="60" t="s">
        <v>95</v>
      </c>
      <c r="G16" s="60" t="s">
        <v>129</v>
      </c>
      <c r="H16" s="61">
        <v>3</v>
      </c>
      <c r="I16" s="61">
        <v>1</v>
      </c>
      <c r="J16" s="61">
        <v>25</v>
      </c>
      <c r="K16" s="61">
        <v>26</v>
      </c>
      <c r="L16" s="61"/>
      <c r="M16" s="61" t="str" cm="1">
        <f t="array" ref="M16">_xlfn.IFS(WEEKDAY(N16,1)=1,"Sunday",WEEKDAY(N16,1)=2,"Monday",WEEKDAY(N16,1)=3,"Tuesday",WEEKDAY(N16,1)=4,"Wednesday",WEEKDAY(N16,1)=5,"Thursday",WEEKDAY(N16,1)=6,"Friday",WEEKDAY(N16,1)=7,"Saturday")</f>
        <v>Friday</v>
      </c>
      <c r="N16" s="62">
        <v>44897</v>
      </c>
      <c r="O16" s="63">
        <v>4.1666666666666664E-2</v>
      </c>
      <c r="P16" s="60" t="s">
        <v>95</v>
      </c>
      <c r="Q16" s="60" t="s">
        <v>251</v>
      </c>
      <c r="R16" s="60" t="s">
        <v>130</v>
      </c>
      <c r="S16" s="68">
        <v>76</v>
      </c>
      <c r="T16" s="61">
        <v>25</v>
      </c>
      <c r="V16">
        <f t="shared" si="0"/>
        <v>22646</v>
      </c>
      <c r="W16" s="1">
        <f t="shared" si="1"/>
        <v>871</v>
      </c>
      <c r="X16">
        <f t="shared" si="2"/>
        <v>26.000000000000004</v>
      </c>
      <c r="Y16" s="55">
        <f t="shared" si="3"/>
        <v>0.76</v>
      </c>
    </row>
    <row r="17" spans="1:25" x14ac:dyDescent="0.25">
      <c r="A17" s="61" t="str" cm="1">
        <f t="array" ref="A17">_xlfn.IFS(WEEKDAY(C17,1)=1,"Sunday",WEEKDAY(C17,1)=2,"Monday",WEEKDAY(C17,1)=3,"Tuesday",WEEKDAY(C17,1)=4,"Wednesday",WEEKDAY(C17,1)=5,"Thursday",WEEKDAY(C17,1)=6,"Friday",WEEKDAY(C17,1)=7,"Saturday")</f>
        <v>Friday</v>
      </c>
      <c r="B17" s="61" t="s">
        <v>391</v>
      </c>
      <c r="C17" s="62">
        <f t="shared" si="4"/>
        <v>44897</v>
      </c>
      <c r="D17" s="62">
        <v>44897</v>
      </c>
      <c r="E17" s="63">
        <v>8.3333333333333329E-2</v>
      </c>
      <c r="F17" s="60" t="s">
        <v>95</v>
      </c>
      <c r="G17" s="60" t="s">
        <v>111</v>
      </c>
      <c r="H17" s="61">
        <v>3</v>
      </c>
      <c r="I17" s="61">
        <v>0</v>
      </c>
      <c r="J17" s="61">
        <v>33</v>
      </c>
      <c r="K17" s="61">
        <v>33</v>
      </c>
      <c r="L17" s="61"/>
      <c r="M17" s="61" t="str" cm="1">
        <f t="array" ref="M17">_xlfn.IFS(WEEKDAY(N17,1)=1,"Sunday",WEEKDAY(N17,1)=2,"Monday",WEEKDAY(N17,1)=3,"Tuesday",WEEKDAY(N17,1)=4,"Wednesday",WEEKDAY(N17,1)=5,"Thursday",WEEKDAY(N17,1)=6,"Friday",WEEKDAY(N17,1)=7,"Saturday")</f>
        <v>Friday</v>
      </c>
      <c r="N17" s="62">
        <v>44897</v>
      </c>
      <c r="O17" s="63">
        <v>8.3333333333333329E-2</v>
      </c>
      <c r="P17" s="60" t="s">
        <v>95</v>
      </c>
      <c r="Q17" s="60" t="s">
        <v>162</v>
      </c>
      <c r="R17" s="60" t="s">
        <v>164</v>
      </c>
      <c r="S17" s="68">
        <v>84.848484848484844</v>
      </c>
      <c r="T17" s="61">
        <v>33</v>
      </c>
      <c r="V17">
        <f t="shared" si="0"/>
        <v>33099</v>
      </c>
      <c r="W17" s="1">
        <f t="shared" si="1"/>
        <v>1003</v>
      </c>
      <c r="X17">
        <f t="shared" si="2"/>
        <v>16</v>
      </c>
      <c r="Y17" s="55">
        <f t="shared" si="3"/>
        <v>0.8484848484848484</v>
      </c>
    </row>
    <row r="18" spans="1:25" x14ac:dyDescent="0.25">
      <c r="A18" s="61" t="str" cm="1">
        <f t="array" ref="A18">_xlfn.IFS(WEEKDAY(C18,1)=1,"Sunday",WEEKDAY(C18,1)=2,"Monday",WEEKDAY(C18,1)=3,"Tuesday",WEEKDAY(C18,1)=4,"Wednesday",WEEKDAY(C18,1)=5,"Thursday",WEEKDAY(C18,1)=6,"Friday",WEEKDAY(C18,1)=7,"Saturday")</f>
        <v>Friday</v>
      </c>
      <c r="B18" s="61" t="s">
        <v>391</v>
      </c>
      <c r="C18" s="62">
        <f t="shared" si="4"/>
        <v>44897</v>
      </c>
      <c r="D18" s="62">
        <v>44897</v>
      </c>
      <c r="E18" s="63">
        <v>0.125</v>
      </c>
      <c r="F18" s="60" t="s">
        <v>95</v>
      </c>
      <c r="G18" s="60" t="s">
        <v>106</v>
      </c>
      <c r="H18" s="61">
        <v>2</v>
      </c>
      <c r="I18" s="61">
        <v>0</v>
      </c>
      <c r="J18" s="61">
        <v>27</v>
      </c>
      <c r="K18" s="61">
        <v>27</v>
      </c>
      <c r="L18" s="61"/>
      <c r="M18" s="61" t="str" cm="1">
        <f t="array" ref="M18">_xlfn.IFS(WEEKDAY(N18,1)=1,"Sunday",WEEKDAY(N18,1)=2,"Monday",WEEKDAY(N18,1)=3,"Tuesday",WEEKDAY(N18,1)=4,"Wednesday",WEEKDAY(N18,1)=5,"Thursday",WEEKDAY(N18,1)=6,"Friday",WEEKDAY(N18,1)=7,"Saturday")</f>
        <v>Friday</v>
      </c>
      <c r="N18" s="62">
        <v>44897</v>
      </c>
      <c r="O18" s="63">
        <v>0.125</v>
      </c>
      <c r="P18" s="60" t="s">
        <v>95</v>
      </c>
      <c r="Q18" s="60" t="s">
        <v>84</v>
      </c>
      <c r="R18" s="60" t="s">
        <v>124</v>
      </c>
      <c r="S18" s="68">
        <v>92.592592592592595</v>
      </c>
      <c r="T18" s="61">
        <v>27</v>
      </c>
      <c r="V18">
        <f t="shared" si="0"/>
        <v>21816.000000000004</v>
      </c>
      <c r="W18" s="1">
        <f t="shared" si="1"/>
        <v>808.00000000000011</v>
      </c>
      <c r="X18">
        <f t="shared" si="2"/>
        <v>10.999999999999998</v>
      </c>
      <c r="Y18" s="55">
        <f t="shared" si="3"/>
        <v>0.92592592592592593</v>
      </c>
    </row>
    <row r="19" spans="1:25" x14ac:dyDescent="0.25">
      <c r="A19" s="61" t="str" cm="1">
        <f t="array" ref="A19">_xlfn.IFS(WEEKDAY(C19,1)=1,"Sunday",WEEKDAY(C19,1)=2,"Monday",WEEKDAY(C19,1)=3,"Tuesday",WEEKDAY(C19,1)=4,"Wednesday",WEEKDAY(C19,1)=5,"Thursday",WEEKDAY(C19,1)=6,"Friday",WEEKDAY(C19,1)=7,"Saturday")</f>
        <v>Friday</v>
      </c>
      <c r="B19" s="61" t="s">
        <v>391</v>
      </c>
      <c r="C19" s="62">
        <f t="shared" si="4"/>
        <v>44897</v>
      </c>
      <c r="D19" s="62">
        <v>44897</v>
      </c>
      <c r="E19" s="63">
        <v>0.16666666666666666</v>
      </c>
      <c r="F19" s="60" t="s">
        <v>95</v>
      </c>
      <c r="G19" s="60" t="s">
        <v>215</v>
      </c>
      <c r="H19" s="61">
        <v>2</v>
      </c>
      <c r="I19" s="61">
        <v>3</v>
      </c>
      <c r="J19" s="61">
        <v>19</v>
      </c>
      <c r="K19" s="61">
        <v>22</v>
      </c>
      <c r="L19" s="61"/>
      <c r="M19" s="61" t="str" cm="1">
        <f t="array" ref="M19">_xlfn.IFS(WEEKDAY(N19,1)=1,"Sunday",WEEKDAY(N19,1)=2,"Monday",WEEKDAY(N19,1)=3,"Tuesday",WEEKDAY(N19,1)=4,"Wednesday",WEEKDAY(N19,1)=5,"Thursday",WEEKDAY(N19,1)=6,"Friday",WEEKDAY(N19,1)=7,"Saturday")</f>
        <v>Friday</v>
      </c>
      <c r="N19" s="62">
        <v>44897</v>
      </c>
      <c r="O19" s="63">
        <v>0.16666666666666666</v>
      </c>
      <c r="P19" s="60" t="s">
        <v>95</v>
      </c>
      <c r="Q19" s="60" t="s">
        <v>81</v>
      </c>
      <c r="R19" s="60" t="s">
        <v>185</v>
      </c>
      <c r="S19" s="68">
        <v>78.94736842105263</v>
      </c>
      <c r="T19" s="61">
        <v>19</v>
      </c>
      <c r="V19">
        <f t="shared" si="0"/>
        <v>17556</v>
      </c>
      <c r="W19" s="1">
        <f t="shared" si="1"/>
        <v>798</v>
      </c>
      <c r="X19">
        <f t="shared" si="2"/>
        <v>101.00000000000001</v>
      </c>
      <c r="Y19" s="55">
        <f t="shared" si="3"/>
        <v>0.78947368421052633</v>
      </c>
    </row>
    <row r="20" spans="1:25" x14ac:dyDescent="0.25">
      <c r="A20" s="61" t="str" cm="1">
        <f t="array" ref="A20">_xlfn.IFS(WEEKDAY(C20,1)=1,"Sunday",WEEKDAY(C20,1)=2,"Monday",WEEKDAY(C20,1)=3,"Tuesday",WEEKDAY(C20,1)=4,"Wednesday",WEEKDAY(C20,1)=5,"Thursday",WEEKDAY(C20,1)=6,"Friday",WEEKDAY(C20,1)=7,"Saturday")</f>
        <v>Monday</v>
      </c>
      <c r="B20" s="61" t="s">
        <v>391</v>
      </c>
      <c r="C20" s="62">
        <f t="shared" si="4"/>
        <v>44900</v>
      </c>
      <c r="D20" s="62">
        <v>44900</v>
      </c>
      <c r="E20" s="63">
        <v>0.33333333333333331</v>
      </c>
      <c r="F20" s="60" t="s">
        <v>94</v>
      </c>
      <c r="G20" s="60" t="s">
        <v>353</v>
      </c>
      <c r="H20" s="61">
        <v>3</v>
      </c>
      <c r="I20" s="61">
        <v>1</v>
      </c>
      <c r="J20" s="61">
        <v>27</v>
      </c>
      <c r="K20" s="61">
        <v>28</v>
      </c>
      <c r="L20" s="61"/>
      <c r="M20" s="61" t="str" cm="1">
        <f t="array" ref="M20">_xlfn.IFS(WEEKDAY(N20,1)=1,"Sunday",WEEKDAY(N20,1)=2,"Monday",WEEKDAY(N20,1)=3,"Tuesday",WEEKDAY(N20,1)=4,"Wednesday",WEEKDAY(N20,1)=5,"Thursday",WEEKDAY(N20,1)=6,"Friday",WEEKDAY(N20,1)=7,"Saturday")</f>
        <v>Monday</v>
      </c>
      <c r="N20" s="62">
        <v>44900</v>
      </c>
      <c r="O20" s="63">
        <v>0.33333333333333331</v>
      </c>
      <c r="P20" s="60" t="s">
        <v>94</v>
      </c>
      <c r="Q20" s="60" t="s">
        <v>282</v>
      </c>
      <c r="R20" s="60" t="s">
        <v>283</v>
      </c>
      <c r="S20" s="68">
        <v>40.74074074074074</v>
      </c>
      <c r="T20" s="61">
        <v>27</v>
      </c>
      <c r="V20">
        <f t="shared" si="0"/>
        <v>19152.000000000004</v>
      </c>
      <c r="W20" s="1">
        <f t="shared" si="1"/>
        <v>684.00000000000011</v>
      </c>
      <c r="X20">
        <f t="shared" si="2"/>
        <v>306</v>
      </c>
      <c r="Y20" s="55">
        <f t="shared" si="3"/>
        <v>0.40740740740740738</v>
      </c>
    </row>
    <row r="21" spans="1:25" x14ac:dyDescent="0.25">
      <c r="A21" s="61" t="str" cm="1">
        <f t="array" ref="A21">_xlfn.IFS(WEEKDAY(C21,1)=1,"Sunday",WEEKDAY(C21,1)=2,"Monday",WEEKDAY(C21,1)=3,"Tuesday",WEEKDAY(C21,1)=4,"Wednesday",WEEKDAY(C21,1)=5,"Thursday",WEEKDAY(C21,1)=6,"Friday",WEEKDAY(C21,1)=7,"Saturday")</f>
        <v>Monday</v>
      </c>
      <c r="B21" s="61" t="s">
        <v>391</v>
      </c>
      <c r="C21" s="62">
        <f t="shared" si="4"/>
        <v>44900</v>
      </c>
      <c r="D21" s="62">
        <v>44900</v>
      </c>
      <c r="E21" s="63">
        <v>0.375</v>
      </c>
      <c r="F21" s="60" t="s">
        <v>94</v>
      </c>
      <c r="G21" s="60" t="s">
        <v>344</v>
      </c>
      <c r="H21" s="61">
        <v>3</v>
      </c>
      <c r="I21" s="61">
        <v>2</v>
      </c>
      <c r="J21" s="61">
        <v>34</v>
      </c>
      <c r="K21" s="61">
        <v>36</v>
      </c>
      <c r="L21" s="61"/>
      <c r="M21" s="61" t="str" cm="1">
        <f t="array" ref="M21">_xlfn.IFS(WEEKDAY(N21,1)=1,"Sunday",WEEKDAY(N21,1)=2,"Monday",WEEKDAY(N21,1)=3,"Tuesday",WEEKDAY(N21,1)=4,"Wednesday",WEEKDAY(N21,1)=5,"Thursday",WEEKDAY(N21,1)=6,"Friday",WEEKDAY(N21,1)=7,"Saturday")</f>
        <v>Monday</v>
      </c>
      <c r="N21" s="62">
        <v>44900</v>
      </c>
      <c r="O21" s="63">
        <v>0.375</v>
      </c>
      <c r="P21" s="60" t="s">
        <v>94</v>
      </c>
      <c r="Q21" s="60" t="s">
        <v>284</v>
      </c>
      <c r="R21" s="60" t="s">
        <v>285</v>
      </c>
      <c r="S21" s="68">
        <v>20.588235294117645</v>
      </c>
      <c r="T21" s="61">
        <v>34</v>
      </c>
      <c r="V21">
        <f t="shared" si="0"/>
        <v>34488.000000000007</v>
      </c>
      <c r="W21" s="1">
        <f t="shared" si="1"/>
        <v>958.00000000000011</v>
      </c>
      <c r="X21">
        <f t="shared" si="2"/>
        <v>408</v>
      </c>
      <c r="Y21" s="55">
        <f t="shared" si="3"/>
        <v>0.20588235294117646</v>
      </c>
    </row>
    <row r="22" spans="1:25" x14ac:dyDescent="0.25">
      <c r="A22" s="61" t="str" cm="1">
        <f t="array" ref="A22">_xlfn.IFS(WEEKDAY(C22,1)=1,"Sunday",WEEKDAY(C22,1)=2,"Monday",WEEKDAY(C22,1)=3,"Tuesday",WEEKDAY(C22,1)=4,"Wednesday",WEEKDAY(C22,1)=5,"Thursday",WEEKDAY(C22,1)=6,"Friday",WEEKDAY(C22,1)=7,"Saturday")</f>
        <v>Monday</v>
      </c>
      <c r="B22" s="61" t="s">
        <v>391</v>
      </c>
      <c r="C22" s="62">
        <f t="shared" si="4"/>
        <v>44900</v>
      </c>
      <c r="D22" s="62">
        <v>44900</v>
      </c>
      <c r="E22" s="63">
        <v>0.41666666666666669</v>
      </c>
      <c r="F22" s="60" t="s">
        <v>94</v>
      </c>
      <c r="G22" s="60" t="s">
        <v>354</v>
      </c>
      <c r="H22" s="61">
        <v>3</v>
      </c>
      <c r="I22" s="61">
        <v>4</v>
      </c>
      <c r="J22" s="61">
        <v>36</v>
      </c>
      <c r="K22" s="61">
        <v>40</v>
      </c>
      <c r="L22" s="61"/>
      <c r="M22" s="61" t="str" cm="1">
        <f t="array" ref="M22">_xlfn.IFS(WEEKDAY(N22,1)=1,"Sunday",WEEKDAY(N22,1)=2,"Monday",WEEKDAY(N22,1)=3,"Tuesday",WEEKDAY(N22,1)=4,"Wednesday",WEEKDAY(N22,1)=5,"Thursday",WEEKDAY(N22,1)=6,"Friday",WEEKDAY(N22,1)=7,"Saturday")</f>
        <v>Monday</v>
      </c>
      <c r="N22" s="62">
        <v>44900</v>
      </c>
      <c r="O22" s="63">
        <v>0.41666666666666669</v>
      </c>
      <c r="P22" s="60" t="s">
        <v>94</v>
      </c>
      <c r="Q22" s="60" t="s">
        <v>286</v>
      </c>
      <c r="R22" s="60" t="s">
        <v>287</v>
      </c>
      <c r="S22" s="68">
        <v>38.888888888888893</v>
      </c>
      <c r="T22" s="61">
        <v>36</v>
      </c>
      <c r="V22">
        <f t="shared" si="0"/>
        <v>29719.999999999996</v>
      </c>
      <c r="W22" s="1">
        <f t="shared" si="1"/>
        <v>742.99999999999989</v>
      </c>
      <c r="X22">
        <f t="shared" si="2"/>
        <v>314</v>
      </c>
      <c r="Y22" s="55">
        <f t="shared" si="3"/>
        <v>0.38888888888888895</v>
      </c>
    </row>
    <row r="23" spans="1:25" x14ac:dyDescent="0.25">
      <c r="A23" s="61" t="str" cm="1">
        <f t="array" ref="A23">_xlfn.IFS(WEEKDAY(C23,1)=1,"Sunday",WEEKDAY(C23,1)=2,"Monday",WEEKDAY(C23,1)=3,"Tuesday",WEEKDAY(C23,1)=4,"Wednesday",WEEKDAY(C23,1)=5,"Thursday",WEEKDAY(C23,1)=6,"Friday",WEEKDAY(C23,1)=7,"Saturday")</f>
        <v>Monday</v>
      </c>
      <c r="B23" s="61" t="s">
        <v>391</v>
      </c>
      <c r="C23" s="62">
        <f t="shared" si="4"/>
        <v>44900</v>
      </c>
      <c r="D23" s="62">
        <v>44900</v>
      </c>
      <c r="E23" s="63">
        <v>0.45833333333333331</v>
      </c>
      <c r="F23" s="60" t="s">
        <v>94</v>
      </c>
      <c r="G23" s="60" t="s">
        <v>289</v>
      </c>
      <c r="H23" s="61">
        <v>3</v>
      </c>
      <c r="I23" s="61">
        <v>1</v>
      </c>
      <c r="J23" s="61">
        <v>59</v>
      </c>
      <c r="K23" s="61">
        <v>60</v>
      </c>
      <c r="L23" s="61"/>
      <c r="M23" s="61" t="str" cm="1">
        <f t="array" ref="M23">_xlfn.IFS(WEEKDAY(N23,1)=1,"Sunday",WEEKDAY(N23,1)=2,"Monday",WEEKDAY(N23,1)=3,"Tuesday",WEEKDAY(N23,1)=4,"Wednesday",WEEKDAY(N23,1)=5,"Thursday",WEEKDAY(N23,1)=6,"Friday",WEEKDAY(N23,1)=7,"Saturday")</f>
        <v>Monday</v>
      </c>
      <c r="N23" s="62">
        <v>44900</v>
      </c>
      <c r="O23" s="63">
        <v>0.45833333333333331</v>
      </c>
      <c r="P23" s="60" t="s">
        <v>94</v>
      </c>
      <c r="Q23" s="60" t="s">
        <v>288</v>
      </c>
      <c r="R23" s="60" t="s">
        <v>289</v>
      </c>
      <c r="S23" s="68">
        <v>64.406779661016941</v>
      </c>
      <c r="T23" s="61">
        <v>59</v>
      </c>
      <c r="V23">
        <f t="shared" si="0"/>
        <v>41460</v>
      </c>
      <c r="W23" s="1">
        <f t="shared" si="1"/>
        <v>691</v>
      </c>
      <c r="X23">
        <f t="shared" si="2"/>
        <v>76</v>
      </c>
      <c r="Y23" s="55">
        <f t="shared" si="3"/>
        <v>0.64406779661016944</v>
      </c>
    </row>
    <row r="24" spans="1:25" x14ac:dyDescent="0.25">
      <c r="A24" s="61" t="str" cm="1">
        <f t="array" ref="A24">_xlfn.IFS(WEEKDAY(C24,1)=1,"Sunday",WEEKDAY(C24,1)=2,"Monday",WEEKDAY(C24,1)=3,"Tuesday",WEEKDAY(C24,1)=4,"Wednesday",WEEKDAY(C24,1)=5,"Thursday",WEEKDAY(C24,1)=6,"Friday",WEEKDAY(C24,1)=7,"Saturday")</f>
        <v>Monday</v>
      </c>
      <c r="B24" s="61" t="s">
        <v>391</v>
      </c>
      <c r="C24" s="62">
        <f t="shared" si="4"/>
        <v>44900</v>
      </c>
      <c r="D24" s="62">
        <v>44900</v>
      </c>
      <c r="E24" s="63">
        <v>0.5</v>
      </c>
      <c r="F24" s="60" t="s">
        <v>95</v>
      </c>
      <c r="G24" s="60" t="s">
        <v>206</v>
      </c>
      <c r="H24" s="61">
        <v>5</v>
      </c>
      <c r="I24" s="61">
        <v>1</v>
      </c>
      <c r="J24" s="61">
        <v>45</v>
      </c>
      <c r="K24" s="61">
        <v>46</v>
      </c>
      <c r="L24" s="61"/>
      <c r="M24" s="61" t="str" cm="1">
        <f t="array" ref="M24">_xlfn.IFS(WEEKDAY(N24,1)=1,"Sunday",WEEKDAY(N24,1)=2,"Monday",WEEKDAY(N24,1)=3,"Tuesday",WEEKDAY(N24,1)=4,"Wednesday",WEEKDAY(N24,1)=5,"Thursday",WEEKDAY(N24,1)=6,"Friday",WEEKDAY(N24,1)=7,"Saturday")</f>
        <v>Monday</v>
      </c>
      <c r="N24" s="62">
        <v>44900</v>
      </c>
      <c r="O24" s="63">
        <v>0.5</v>
      </c>
      <c r="P24" s="60" t="s">
        <v>95</v>
      </c>
      <c r="Q24" s="60" t="s">
        <v>84</v>
      </c>
      <c r="R24" s="60" t="s">
        <v>171</v>
      </c>
      <c r="S24" s="68">
        <v>42.222222222222221</v>
      </c>
      <c r="T24" s="61">
        <v>45</v>
      </c>
      <c r="V24">
        <f t="shared" si="0"/>
        <v>37168.000000000007</v>
      </c>
      <c r="W24" s="1">
        <f t="shared" si="1"/>
        <v>808.00000000000011</v>
      </c>
      <c r="X24">
        <f t="shared" si="2"/>
        <v>151</v>
      </c>
      <c r="Y24" s="55">
        <f t="shared" si="3"/>
        <v>0.42222222222222222</v>
      </c>
    </row>
    <row r="25" spans="1:25" x14ac:dyDescent="0.25">
      <c r="A25" s="61" t="str" cm="1">
        <f t="array" ref="A25">_xlfn.IFS(WEEKDAY(C25,1)=1,"Sunday",WEEKDAY(C25,1)=2,"Monday",WEEKDAY(C25,1)=3,"Tuesday",WEEKDAY(C25,1)=4,"Wednesday",WEEKDAY(C25,1)=5,"Thursday",WEEKDAY(C25,1)=6,"Friday",WEEKDAY(C25,1)=7,"Saturday")</f>
        <v>Monday</v>
      </c>
      <c r="B25" s="61" t="s">
        <v>391</v>
      </c>
      <c r="C25" s="62">
        <f t="shared" si="4"/>
        <v>44900</v>
      </c>
      <c r="D25" s="62">
        <v>44900</v>
      </c>
      <c r="E25" s="63">
        <v>4.1666666666666664E-2</v>
      </c>
      <c r="F25" s="60" t="s">
        <v>95</v>
      </c>
      <c r="G25" s="60" t="s">
        <v>355</v>
      </c>
      <c r="H25" s="61">
        <v>3</v>
      </c>
      <c r="I25" s="61">
        <v>7</v>
      </c>
      <c r="J25" s="61">
        <v>44</v>
      </c>
      <c r="K25" s="61">
        <v>51</v>
      </c>
      <c r="L25" s="61"/>
      <c r="M25" s="61" t="str" cm="1">
        <f t="array" ref="M25">_xlfn.IFS(WEEKDAY(N25,1)=1,"Sunday",WEEKDAY(N25,1)=2,"Monday",WEEKDAY(N25,1)=3,"Tuesday",WEEKDAY(N25,1)=4,"Wednesday",WEEKDAY(N25,1)=5,"Thursday",WEEKDAY(N25,1)=6,"Friday",WEEKDAY(N25,1)=7,"Saturday")</f>
        <v>Monday</v>
      </c>
      <c r="N25" s="62">
        <v>44900</v>
      </c>
      <c r="O25" s="63">
        <v>4.1666666666666664E-2</v>
      </c>
      <c r="P25" s="60" t="s">
        <v>95</v>
      </c>
      <c r="Q25" s="60" t="s">
        <v>290</v>
      </c>
      <c r="R25" s="60" t="s">
        <v>291</v>
      </c>
      <c r="S25" s="68">
        <v>22.727272727272727</v>
      </c>
      <c r="T25" s="61">
        <v>44</v>
      </c>
      <c r="V25">
        <f t="shared" si="0"/>
        <v>40953</v>
      </c>
      <c r="W25" s="1">
        <f t="shared" si="1"/>
        <v>803</v>
      </c>
      <c r="X25">
        <f t="shared" si="2"/>
        <v>431.00000000000006</v>
      </c>
      <c r="Y25" s="55">
        <f t="shared" si="3"/>
        <v>0.22727272727272727</v>
      </c>
    </row>
    <row r="26" spans="1:25" x14ac:dyDescent="0.25">
      <c r="A26" s="61" t="str" cm="1">
        <f t="array" ref="A26">_xlfn.IFS(WEEKDAY(C26,1)=1,"Sunday",WEEKDAY(C26,1)=2,"Monday",WEEKDAY(C26,1)=3,"Tuesday",WEEKDAY(C26,1)=4,"Wednesday",WEEKDAY(C26,1)=5,"Thursday",WEEKDAY(C26,1)=6,"Friday",WEEKDAY(C26,1)=7,"Saturday")</f>
        <v>Monday</v>
      </c>
      <c r="B26" s="61" t="s">
        <v>391</v>
      </c>
      <c r="C26" s="62">
        <f t="shared" si="4"/>
        <v>44900</v>
      </c>
      <c r="D26" s="62">
        <v>44900</v>
      </c>
      <c r="E26" s="63">
        <v>8.3333333333333329E-2</v>
      </c>
      <c r="F26" s="60" t="s">
        <v>95</v>
      </c>
      <c r="G26" s="60" t="s">
        <v>356</v>
      </c>
      <c r="H26" s="61">
        <v>2</v>
      </c>
      <c r="I26" s="61">
        <v>1</v>
      </c>
      <c r="J26" s="61">
        <v>45</v>
      </c>
      <c r="K26" s="61">
        <v>46</v>
      </c>
      <c r="L26" s="61"/>
      <c r="M26" s="61" t="str" cm="1">
        <f t="array" ref="M26">_xlfn.IFS(WEEKDAY(N26,1)=1,"Sunday",WEEKDAY(N26,1)=2,"Monday",WEEKDAY(N26,1)=3,"Tuesday",WEEKDAY(N26,1)=4,"Wednesday",WEEKDAY(N26,1)=5,"Thursday",WEEKDAY(N26,1)=6,"Friday",WEEKDAY(N26,1)=7,"Saturday")</f>
        <v>Monday</v>
      </c>
      <c r="N26" s="62">
        <v>44900</v>
      </c>
      <c r="O26" s="63">
        <v>8.3333333333333329E-2</v>
      </c>
      <c r="P26" s="60" t="s">
        <v>95</v>
      </c>
      <c r="Q26" s="60" t="s">
        <v>101</v>
      </c>
      <c r="R26" s="60" t="s">
        <v>292</v>
      </c>
      <c r="S26" s="68">
        <v>13.333333333333334</v>
      </c>
      <c r="T26" s="61">
        <v>45</v>
      </c>
      <c r="V26">
        <f t="shared" si="0"/>
        <v>40710</v>
      </c>
      <c r="W26" s="1">
        <f t="shared" si="1"/>
        <v>885</v>
      </c>
      <c r="X26">
        <f t="shared" si="2"/>
        <v>519</v>
      </c>
      <c r="Y26" s="55">
        <f t="shared" si="3"/>
        <v>0.13333333333333333</v>
      </c>
    </row>
    <row r="27" spans="1:25" x14ac:dyDescent="0.25">
      <c r="A27" s="61" t="str" cm="1">
        <f t="array" ref="A27">_xlfn.IFS(WEEKDAY(C27,1)=1,"Sunday",WEEKDAY(C27,1)=2,"Monday",WEEKDAY(C27,1)=3,"Tuesday",WEEKDAY(C27,1)=4,"Wednesday",WEEKDAY(C27,1)=5,"Thursday",WEEKDAY(C27,1)=6,"Friday",WEEKDAY(C27,1)=7,"Saturday")</f>
        <v>Monday</v>
      </c>
      <c r="B27" s="61" t="s">
        <v>391</v>
      </c>
      <c r="C27" s="62">
        <f t="shared" si="4"/>
        <v>44900</v>
      </c>
      <c r="D27" s="62">
        <v>44900</v>
      </c>
      <c r="E27" s="63">
        <v>0.125</v>
      </c>
      <c r="F27" s="60" t="s">
        <v>95</v>
      </c>
      <c r="G27" s="60" t="s">
        <v>204</v>
      </c>
      <c r="H27" s="61">
        <v>2</v>
      </c>
      <c r="I27" s="61">
        <v>0</v>
      </c>
      <c r="J27" s="61">
        <v>33</v>
      </c>
      <c r="K27" s="61">
        <v>33</v>
      </c>
      <c r="L27" s="61"/>
      <c r="M27" s="61" t="str" cm="1">
        <f t="array" ref="M27">_xlfn.IFS(WEEKDAY(N27,1)=1,"Sunday",WEEKDAY(N27,1)=2,"Monday",WEEKDAY(N27,1)=3,"Tuesday",WEEKDAY(N27,1)=4,"Wednesday",WEEKDAY(N27,1)=5,"Thursday",WEEKDAY(N27,1)=6,"Friday",WEEKDAY(N27,1)=7,"Saturday")</f>
        <v>Monday</v>
      </c>
      <c r="N27" s="62">
        <v>44900</v>
      </c>
      <c r="O27" s="63">
        <v>0.125</v>
      </c>
      <c r="P27" s="60" t="s">
        <v>95</v>
      </c>
      <c r="Q27" s="60" t="s">
        <v>120</v>
      </c>
      <c r="R27" s="60" t="s">
        <v>187</v>
      </c>
      <c r="S27" s="68">
        <v>84.848484848484844</v>
      </c>
      <c r="T27" s="61">
        <v>33</v>
      </c>
      <c r="V27">
        <f t="shared" si="0"/>
        <v>33759</v>
      </c>
      <c r="W27" s="1">
        <f t="shared" si="1"/>
        <v>1023</v>
      </c>
      <c r="X27">
        <f t="shared" si="2"/>
        <v>37</v>
      </c>
      <c r="Y27" s="55">
        <f t="shared" si="3"/>
        <v>0.8484848484848484</v>
      </c>
    </row>
    <row r="28" spans="1:25" x14ac:dyDescent="0.25">
      <c r="A28" s="61" t="str" cm="1">
        <f t="array" ref="A28">_xlfn.IFS(WEEKDAY(C28,1)=1,"Sunday",WEEKDAY(C28,1)=2,"Monday",WEEKDAY(C28,1)=3,"Tuesday",WEEKDAY(C28,1)=4,"Wednesday",WEEKDAY(C28,1)=5,"Thursday",WEEKDAY(C28,1)=6,"Friday",WEEKDAY(C28,1)=7,"Saturday")</f>
        <v>Monday</v>
      </c>
      <c r="B28" s="61" t="s">
        <v>391</v>
      </c>
      <c r="C28" s="62">
        <f t="shared" si="4"/>
        <v>44900</v>
      </c>
      <c r="D28" s="62">
        <v>44900</v>
      </c>
      <c r="E28" s="63">
        <v>0.16666666666666666</v>
      </c>
      <c r="F28" s="60" t="s">
        <v>95</v>
      </c>
      <c r="G28" s="60" t="s">
        <v>151</v>
      </c>
      <c r="H28" s="61">
        <v>5</v>
      </c>
      <c r="I28" s="61">
        <v>0</v>
      </c>
      <c r="J28" s="61">
        <v>29</v>
      </c>
      <c r="K28" s="61">
        <v>29</v>
      </c>
      <c r="L28" s="61"/>
      <c r="M28" s="61" t="str" cm="1">
        <f t="array" ref="M28">_xlfn.IFS(WEEKDAY(N28,1)=1,"Sunday",WEEKDAY(N28,1)=2,"Monday",WEEKDAY(N28,1)=3,"Tuesday",WEEKDAY(N28,1)=4,"Wednesday",WEEKDAY(N28,1)=5,"Thursday",WEEKDAY(N28,1)=6,"Friday",WEEKDAY(N28,1)=7,"Saturday")</f>
        <v>Monday</v>
      </c>
      <c r="N28" s="62">
        <v>44900</v>
      </c>
      <c r="O28" s="63">
        <v>0.16666666666666666</v>
      </c>
      <c r="P28" s="60" t="s">
        <v>95</v>
      </c>
      <c r="Q28" s="60" t="s">
        <v>146</v>
      </c>
      <c r="R28" s="60" t="s">
        <v>159</v>
      </c>
      <c r="S28" s="68">
        <v>82.758620689655174</v>
      </c>
      <c r="T28" s="61">
        <v>29</v>
      </c>
      <c r="V28">
        <f t="shared" si="0"/>
        <v>20445</v>
      </c>
      <c r="W28" s="1">
        <f t="shared" si="1"/>
        <v>705</v>
      </c>
      <c r="X28">
        <f t="shared" si="2"/>
        <v>23</v>
      </c>
      <c r="Y28" s="55">
        <f t="shared" si="3"/>
        <v>0.82758620689655171</v>
      </c>
    </row>
    <row r="29" spans="1:25" x14ac:dyDescent="0.25">
      <c r="A29" s="61" t="str" cm="1">
        <f t="array" ref="A29">_xlfn.IFS(WEEKDAY(C29,1)=1,"Sunday",WEEKDAY(C29,1)=2,"Monday",WEEKDAY(C29,1)=3,"Tuesday",WEEKDAY(C29,1)=4,"Wednesday",WEEKDAY(C29,1)=5,"Thursday",WEEKDAY(C29,1)=6,"Friday",WEEKDAY(C29,1)=7,"Saturday")</f>
        <v>Monday</v>
      </c>
      <c r="B29" s="61" t="s">
        <v>391</v>
      </c>
      <c r="C29" s="62">
        <f t="shared" si="4"/>
        <v>44900</v>
      </c>
      <c r="D29" s="62">
        <v>44900</v>
      </c>
      <c r="E29" s="63">
        <v>0.20833333333333334</v>
      </c>
      <c r="F29" s="60" t="s">
        <v>95</v>
      </c>
      <c r="G29" s="60" t="s">
        <v>128</v>
      </c>
      <c r="H29" s="61">
        <v>0</v>
      </c>
      <c r="I29" s="61">
        <v>0</v>
      </c>
      <c r="J29" s="61">
        <v>1</v>
      </c>
      <c r="K29" s="61">
        <v>1</v>
      </c>
      <c r="L29" s="61"/>
      <c r="M29" s="61" t="str" cm="1">
        <f t="array" ref="M29">_xlfn.IFS(WEEKDAY(N29,1)=1,"Sunday",WEEKDAY(N29,1)=2,"Monday",WEEKDAY(N29,1)=3,"Tuesday",WEEKDAY(N29,1)=4,"Wednesday",WEEKDAY(N29,1)=5,"Thursday",WEEKDAY(N29,1)=6,"Friday",WEEKDAY(N29,1)=7,"Saturday")</f>
        <v>Monday</v>
      </c>
      <c r="N29" s="62">
        <v>44900</v>
      </c>
      <c r="O29" s="63">
        <v>0.20833333333333334</v>
      </c>
      <c r="P29" s="60" t="s">
        <v>95</v>
      </c>
      <c r="Q29" s="60" t="s">
        <v>293</v>
      </c>
      <c r="R29" s="60" t="s">
        <v>128</v>
      </c>
      <c r="S29" s="68">
        <v>100</v>
      </c>
      <c r="T29" s="61">
        <v>1</v>
      </c>
      <c r="V29">
        <f t="shared" si="0"/>
        <v>1320</v>
      </c>
      <c r="W29" s="1">
        <f t="shared" si="1"/>
        <v>1320</v>
      </c>
      <c r="X29">
        <f t="shared" si="2"/>
        <v>5</v>
      </c>
      <c r="Y29" s="55">
        <f t="shared" si="3"/>
        <v>1</v>
      </c>
    </row>
    <row r="30" spans="1:25" x14ac:dyDescent="0.25">
      <c r="A30" s="61" t="str" cm="1">
        <f t="array" ref="A30">_xlfn.IFS(WEEKDAY(C30,1)=1,"Sunday",WEEKDAY(C30,1)=2,"Monday",WEEKDAY(C30,1)=3,"Tuesday",WEEKDAY(C30,1)=4,"Wednesday",WEEKDAY(C30,1)=5,"Thursday",WEEKDAY(C30,1)=6,"Friday",WEEKDAY(C30,1)=7,"Saturday")</f>
        <v>Tuesday</v>
      </c>
      <c r="B30" s="61" t="s">
        <v>391</v>
      </c>
      <c r="C30" s="62">
        <f t="shared" si="4"/>
        <v>44901</v>
      </c>
      <c r="D30" s="62">
        <v>44901</v>
      </c>
      <c r="E30" s="63">
        <v>0.33333333333333331</v>
      </c>
      <c r="F30" s="60" t="s">
        <v>94</v>
      </c>
      <c r="G30" s="60" t="s">
        <v>191</v>
      </c>
      <c r="H30" s="61">
        <v>4</v>
      </c>
      <c r="I30" s="61">
        <v>0</v>
      </c>
      <c r="J30" s="61">
        <v>13</v>
      </c>
      <c r="K30" s="61">
        <v>13</v>
      </c>
      <c r="L30" s="61"/>
      <c r="M30" s="61" t="str" cm="1">
        <f t="array" ref="M30">_xlfn.IFS(WEEKDAY(N30,1)=1,"Sunday",WEEKDAY(N30,1)=2,"Monday",WEEKDAY(N30,1)=3,"Tuesday",WEEKDAY(N30,1)=4,"Wednesday",WEEKDAY(N30,1)=5,"Thursday",WEEKDAY(N30,1)=6,"Friday",WEEKDAY(N30,1)=7,"Saturday")</f>
        <v>Tuesday</v>
      </c>
      <c r="N30" s="62">
        <v>44901</v>
      </c>
      <c r="O30" s="63">
        <v>0.33333333333333331</v>
      </c>
      <c r="P30" s="60" t="s">
        <v>94</v>
      </c>
      <c r="Q30" s="60" t="s">
        <v>229</v>
      </c>
      <c r="R30" s="60" t="s">
        <v>191</v>
      </c>
      <c r="S30" s="68">
        <v>61.53846153846154</v>
      </c>
      <c r="T30" s="61">
        <v>13</v>
      </c>
      <c r="V30">
        <f t="shared" si="0"/>
        <v>10920</v>
      </c>
      <c r="W30" s="1">
        <f t="shared" si="1"/>
        <v>840</v>
      </c>
      <c r="X30">
        <f t="shared" si="2"/>
        <v>43.999999999999993</v>
      </c>
      <c r="Y30" s="55">
        <f t="shared" si="3"/>
        <v>0.61538461538461542</v>
      </c>
    </row>
    <row r="31" spans="1:25" x14ac:dyDescent="0.25">
      <c r="A31" s="61" t="str" cm="1">
        <f t="array" ref="A31">_xlfn.IFS(WEEKDAY(C31,1)=1,"Sunday",WEEKDAY(C31,1)=2,"Monday",WEEKDAY(C31,1)=3,"Tuesday",WEEKDAY(C31,1)=4,"Wednesday",WEEKDAY(C31,1)=5,"Thursday",WEEKDAY(C31,1)=6,"Friday",WEEKDAY(C31,1)=7,"Saturday")</f>
        <v>Tuesday</v>
      </c>
      <c r="B31" s="61" t="s">
        <v>391</v>
      </c>
      <c r="C31" s="62">
        <f t="shared" si="4"/>
        <v>44901</v>
      </c>
      <c r="D31" s="62">
        <v>44901</v>
      </c>
      <c r="E31" s="63">
        <v>0.375</v>
      </c>
      <c r="F31" s="60" t="s">
        <v>94</v>
      </c>
      <c r="G31" s="60" t="s">
        <v>357</v>
      </c>
      <c r="H31" s="61">
        <v>2</v>
      </c>
      <c r="I31" s="61">
        <v>0</v>
      </c>
      <c r="J31" s="61">
        <v>29</v>
      </c>
      <c r="K31" s="61">
        <v>29</v>
      </c>
      <c r="L31" s="61"/>
      <c r="M31" s="61" t="str" cm="1">
        <f t="array" ref="M31">_xlfn.IFS(WEEKDAY(N31,1)=1,"Sunday",WEEKDAY(N31,1)=2,"Monday",WEEKDAY(N31,1)=3,"Tuesday",WEEKDAY(N31,1)=4,"Wednesday",WEEKDAY(N31,1)=5,"Thursday",WEEKDAY(N31,1)=6,"Friday",WEEKDAY(N31,1)=7,"Saturday")</f>
        <v>Tuesday</v>
      </c>
      <c r="N31" s="62">
        <v>44901</v>
      </c>
      <c r="O31" s="63">
        <v>0.375</v>
      </c>
      <c r="P31" s="60" t="s">
        <v>94</v>
      </c>
      <c r="Q31" s="60" t="s">
        <v>228</v>
      </c>
      <c r="R31" s="60" t="s">
        <v>294</v>
      </c>
      <c r="S31" s="68">
        <v>62.068965517241381</v>
      </c>
      <c r="T31" s="61">
        <v>29</v>
      </c>
      <c r="V31">
        <f t="shared" si="0"/>
        <v>22620.000000000004</v>
      </c>
      <c r="W31" s="1">
        <f t="shared" si="1"/>
        <v>780.00000000000011</v>
      </c>
      <c r="X31">
        <f t="shared" si="2"/>
        <v>181.99999999999997</v>
      </c>
      <c r="Y31" s="55">
        <f t="shared" si="3"/>
        <v>0.62068965517241381</v>
      </c>
    </row>
    <row r="32" spans="1:25" x14ac:dyDescent="0.25">
      <c r="A32" s="61" t="str" cm="1">
        <f t="array" ref="A32">_xlfn.IFS(WEEKDAY(C32,1)=1,"Sunday",WEEKDAY(C32,1)=2,"Monday",WEEKDAY(C32,1)=3,"Tuesday",WEEKDAY(C32,1)=4,"Wednesday",WEEKDAY(C32,1)=5,"Thursday",WEEKDAY(C32,1)=6,"Friday",WEEKDAY(C32,1)=7,"Saturday")</f>
        <v>Tuesday</v>
      </c>
      <c r="B32" s="61" t="s">
        <v>391</v>
      </c>
      <c r="C32" s="62">
        <f t="shared" si="4"/>
        <v>44901</v>
      </c>
      <c r="D32" s="62">
        <v>44901</v>
      </c>
      <c r="E32" s="63">
        <v>0.41666666666666669</v>
      </c>
      <c r="F32" s="60" t="s">
        <v>94</v>
      </c>
      <c r="G32" s="60" t="s">
        <v>189</v>
      </c>
      <c r="H32" s="61">
        <v>1</v>
      </c>
      <c r="I32" s="61">
        <v>2</v>
      </c>
      <c r="J32" s="61">
        <v>38</v>
      </c>
      <c r="K32" s="61">
        <v>40</v>
      </c>
      <c r="L32" s="61"/>
      <c r="M32" s="61" t="str" cm="1">
        <f t="array" ref="M32">_xlfn.IFS(WEEKDAY(N32,1)=1,"Sunday",WEEKDAY(N32,1)=2,"Monday",WEEKDAY(N32,1)=3,"Tuesday",WEEKDAY(N32,1)=4,"Wednesday",WEEKDAY(N32,1)=5,"Thursday",WEEKDAY(N32,1)=6,"Friday",WEEKDAY(N32,1)=7,"Saturday")</f>
        <v>Tuesday</v>
      </c>
      <c r="N32" s="62">
        <v>44901</v>
      </c>
      <c r="O32" s="63">
        <v>0.41666666666666669</v>
      </c>
      <c r="P32" s="60" t="s">
        <v>94</v>
      </c>
      <c r="Q32" s="60" t="s">
        <v>260</v>
      </c>
      <c r="R32" s="60" t="s">
        <v>136</v>
      </c>
      <c r="S32" s="68">
        <v>50</v>
      </c>
      <c r="T32" s="61">
        <v>38</v>
      </c>
      <c r="V32">
        <f t="shared" si="0"/>
        <v>39120</v>
      </c>
      <c r="W32" s="1">
        <f t="shared" si="1"/>
        <v>978</v>
      </c>
      <c r="X32">
        <f t="shared" si="2"/>
        <v>147.00000000000003</v>
      </c>
      <c r="Y32" s="55">
        <f t="shared" si="3"/>
        <v>0.5</v>
      </c>
    </row>
    <row r="33" spans="1:25" x14ac:dyDescent="0.25">
      <c r="A33" s="61" t="str" cm="1">
        <f t="array" ref="A33">_xlfn.IFS(WEEKDAY(C33,1)=1,"Sunday",WEEKDAY(C33,1)=2,"Monday",WEEKDAY(C33,1)=3,"Tuesday",WEEKDAY(C33,1)=4,"Wednesday",WEEKDAY(C33,1)=5,"Thursday",WEEKDAY(C33,1)=6,"Friday",WEEKDAY(C33,1)=7,"Saturday")</f>
        <v>Tuesday</v>
      </c>
      <c r="B33" s="61" t="s">
        <v>391</v>
      </c>
      <c r="C33" s="62">
        <f t="shared" si="4"/>
        <v>44901</v>
      </c>
      <c r="D33" s="62">
        <v>44901</v>
      </c>
      <c r="E33" s="63">
        <v>0.45833333333333331</v>
      </c>
      <c r="F33" s="60" t="s">
        <v>94</v>
      </c>
      <c r="G33" s="60" t="s">
        <v>151</v>
      </c>
      <c r="H33" s="61">
        <v>4</v>
      </c>
      <c r="I33" s="61">
        <v>0</v>
      </c>
      <c r="J33" s="61">
        <v>37</v>
      </c>
      <c r="K33" s="61">
        <v>37</v>
      </c>
      <c r="L33" s="61"/>
      <c r="M33" s="61" t="str" cm="1">
        <f t="array" ref="M33">_xlfn.IFS(WEEKDAY(N33,1)=1,"Sunday",WEEKDAY(N33,1)=2,"Monday",WEEKDAY(N33,1)=3,"Tuesday",WEEKDAY(N33,1)=4,"Wednesday",WEEKDAY(N33,1)=5,"Thursday",WEEKDAY(N33,1)=6,"Friday",WEEKDAY(N33,1)=7,"Saturday")</f>
        <v>Tuesday</v>
      </c>
      <c r="N33" s="62">
        <v>44901</v>
      </c>
      <c r="O33" s="63">
        <v>0.45833333333333331</v>
      </c>
      <c r="P33" s="60" t="s">
        <v>94</v>
      </c>
      <c r="Q33" s="60" t="s">
        <v>256</v>
      </c>
      <c r="R33" s="60" t="s">
        <v>159</v>
      </c>
      <c r="S33" s="68">
        <v>83.78378378378379</v>
      </c>
      <c r="T33" s="61">
        <v>37</v>
      </c>
      <c r="V33">
        <f t="shared" si="0"/>
        <v>29377.999999999996</v>
      </c>
      <c r="W33" s="1">
        <f t="shared" si="1"/>
        <v>793.99999999999989</v>
      </c>
      <c r="X33">
        <f t="shared" si="2"/>
        <v>23</v>
      </c>
      <c r="Y33" s="55">
        <f t="shared" si="3"/>
        <v>0.83783783783783794</v>
      </c>
    </row>
    <row r="34" spans="1:25" x14ac:dyDescent="0.25">
      <c r="A34" s="61" t="str" cm="1">
        <f t="array" ref="A34">_xlfn.IFS(WEEKDAY(C34,1)=1,"Sunday",WEEKDAY(C34,1)=2,"Monday",WEEKDAY(C34,1)=3,"Tuesday",WEEKDAY(C34,1)=4,"Wednesday",WEEKDAY(C34,1)=5,"Thursday",WEEKDAY(C34,1)=6,"Friday",WEEKDAY(C34,1)=7,"Saturday")</f>
        <v>Tuesday</v>
      </c>
      <c r="B34" s="61" t="s">
        <v>391</v>
      </c>
      <c r="C34" s="62">
        <f t="shared" si="4"/>
        <v>44901</v>
      </c>
      <c r="D34" s="62">
        <v>44901</v>
      </c>
      <c r="E34" s="63">
        <v>0.5</v>
      </c>
      <c r="F34" s="60" t="s">
        <v>95</v>
      </c>
      <c r="G34" s="60" t="s">
        <v>118</v>
      </c>
      <c r="H34" s="61">
        <v>1</v>
      </c>
      <c r="I34" s="61">
        <v>0</v>
      </c>
      <c r="J34" s="61">
        <v>41</v>
      </c>
      <c r="K34" s="61">
        <v>41</v>
      </c>
      <c r="L34" s="61"/>
      <c r="M34" s="61" t="str" cm="1">
        <f t="array" ref="M34">_xlfn.IFS(WEEKDAY(N34,1)=1,"Sunday",WEEKDAY(N34,1)=2,"Monday",WEEKDAY(N34,1)=3,"Tuesday",WEEKDAY(N34,1)=4,"Wednesday",WEEKDAY(N34,1)=5,"Thursday",WEEKDAY(N34,1)=6,"Friday",WEEKDAY(N34,1)=7,"Saturday")</f>
        <v>Tuesday</v>
      </c>
      <c r="N34" s="62">
        <v>44901</v>
      </c>
      <c r="O34" s="63">
        <v>0.5</v>
      </c>
      <c r="P34" s="60" t="s">
        <v>95</v>
      </c>
      <c r="Q34" s="60" t="s">
        <v>238</v>
      </c>
      <c r="R34" s="60" t="s">
        <v>150</v>
      </c>
      <c r="S34" s="68">
        <v>97.560975609756099</v>
      </c>
      <c r="T34" s="61">
        <v>41</v>
      </c>
      <c r="V34">
        <f t="shared" si="0"/>
        <v>31160</v>
      </c>
      <c r="W34" s="1">
        <f t="shared" si="1"/>
        <v>760</v>
      </c>
      <c r="X34">
        <f t="shared" si="2"/>
        <v>7</v>
      </c>
      <c r="Y34" s="55">
        <f t="shared" ref="Y34:Y65" si="5">S34/100</f>
        <v>0.97560975609756095</v>
      </c>
    </row>
    <row r="35" spans="1:25" x14ac:dyDescent="0.25">
      <c r="A35" s="61" t="str" cm="1">
        <f t="array" ref="A35">_xlfn.IFS(WEEKDAY(C35,1)=1,"Sunday",WEEKDAY(C35,1)=2,"Monday",WEEKDAY(C35,1)=3,"Tuesday",WEEKDAY(C35,1)=4,"Wednesday",WEEKDAY(C35,1)=5,"Thursday",WEEKDAY(C35,1)=6,"Friday",WEEKDAY(C35,1)=7,"Saturday")</f>
        <v>Tuesday</v>
      </c>
      <c r="B35" s="61" t="s">
        <v>391</v>
      </c>
      <c r="C35" s="62">
        <f t="shared" si="4"/>
        <v>44901</v>
      </c>
      <c r="D35" s="62">
        <v>44901</v>
      </c>
      <c r="E35" s="63">
        <v>4.1666666666666664E-2</v>
      </c>
      <c r="F35" s="60" t="s">
        <v>95</v>
      </c>
      <c r="G35" s="60" t="s">
        <v>106</v>
      </c>
      <c r="H35" s="61">
        <v>0</v>
      </c>
      <c r="I35" s="61">
        <v>0</v>
      </c>
      <c r="J35" s="61">
        <v>29</v>
      </c>
      <c r="K35" s="61">
        <v>29</v>
      </c>
      <c r="L35" s="61"/>
      <c r="M35" s="61" t="str" cm="1">
        <f t="array" ref="M35">_xlfn.IFS(WEEKDAY(N35,1)=1,"Sunday",WEEKDAY(N35,1)=2,"Monday",WEEKDAY(N35,1)=3,"Tuesday",WEEKDAY(N35,1)=4,"Wednesday",WEEKDAY(N35,1)=5,"Thursday",WEEKDAY(N35,1)=6,"Friday",WEEKDAY(N35,1)=7,"Saturday")</f>
        <v>Tuesday</v>
      </c>
      <c r="N35" s="62">
        <v>44901</v>
      </c>
      <c r="O35" s="63">
        <v>4.1666666666666664E-2</v>
      </c>
      <c r="P35" s="60" t="s">
        <v>95</v>
      </c>
      <c r="Q35" s="60" t="s">
        <v>270</v>
      </c>
      <c r="R35" s="60" t="s">
        <v>124</v>
      </c>
      <c r="S35" s="68">
        <v>96.551724137931032</v>
      </c>
      <c r="T35" s="61">
        <v>29</v>
      </c>
      <c r="V35">
        <f t="shared" si="0"/>
        <v>27405.000000000004</v>
      </c>
      <c r="W35" s="1">
        <f t="shared" si="1"/>
        <v>945.00000000000011</v>
      </c>
      <c r="X35">
        <f t="shared" si="2"/>
        <v>10.999999999999998</v>
      </c>
      <c r="Y35" s="55">
        <f t="shared" si="5"/>
        <v>0.96551724137931028</v>
      </c>
    </row>
    <row r="36" spans="1:25" x14ac:dyDescent="0.25">
      <c r="A36" s="61" t="str" cm="1">
        <f t="array" ref="A36">_xlfn.IFS(WEEKDAY(C36,1)=1,"Sunday",WEEKDAY(C36,1)=2,"Monday",WEEKDAY(C36,1)=3,"Tuesday",WEEKDAY(C36,1)=4,"Wednesday",WEEKDAY(C36,1)=5,"Thursday",WEEKDAY(C36,1)=6,"Friday",WEEKDAY(C36,1)=7,"Saturday")</f>
        <v>Tuesday</v>
      </c>
      <c r="B36" s="61" t="s">
        <v>391</v>
      </c>
      <c r="C36" s="62">
        <f t="shared" si="4"/>
        <v>44901</v>
      </c>
      <c r="D36" s="62">
        <v>44901</v>
      </c>
      <c r="E36" s="63">
        <v>8.3333333333333329E-2</v>
      </c>
      <c r="F36" s="60" t="s">
        <v>95</v>
      </c>
      <c r="G36" s="60" t="s">
        <v>129</v>
      </c>
      <c r="H36" s="61">
        <v>0</v>
      </c>
      <c r="I36" s="61">
        <v>0</v>
      </c>
      <c r="J36" s="61">
        <v>23</v>
      </c>
      <c r="K36" s="61">
        <v>23</v>
      </c>
      <c r="L36" s="61"/>
      <c r="M36" s="61" t="str" cm="1">
        <f t="array" ref="M36">_xlfn.IFS(WEEKDAY(N36,1)=1,"Sunday",WEEKDAY(N36,1)=2,"Monday",WEEKDAY(N36,1)=3,"Tuesday",WEEKDAY(N36,1)=4,"Wednesday",WEEKDAY(N36,1)=5,"Thursday",WEEKDAY(N36,1)=6,"Friday",WEEKDAY(N36,1)=7,"Saturday")</f>
        <v>Tuesday</v>
      </c>
      <c r="N36" s="62">
        <v>44901</v>
      </c>
      <c r="O36" s="63">
        <v>8.3333333333333329E-2</v>
      </c>
      <c r="P36" s="60" t="s">
        <v>95</v>
      </c>
      <c r="Q36" s="60" t="s">
        <v>160</v>
      </c>
      <c r="R36" s="60" t="s">
        <v>130</v>
      </c>
      <c r="S36" s="68">
        <v>91.304347826086953</v>
      </c>
      <c r="T36" s="61">
        <v>23</v>
      </c>
      <c r="V36">
        <f t="shared" si="0"/>
        <v>20861.000000000004</v>
      </c>
      <c r="W36" s="1">
        <f t="shared" si="1"/>
        <v>907.00000000000011</v>
      </c>
      <c r="X36">
        <f t="shared" si="2"/>
        <v>26.000000000000004</v>
      </c>
      <c r="Y36" s="55">
        <f t="shared" si="5"/>
        <v>0.91304347826086951</v>
      </c>
    </row>
    <row r="37" spans="1:25" x14ac:dyDescent="0.25">
      <c r="A37" s="61" t="str" cm="1">
        <f t="array" ref="A37">_xlfn.IFS(WEEKDAY(C37,1)=1,"Sunday",WEEKDAY(C37,1)=2,"Monday",WEEKDAY(C37,1)=3,"Tuesday",WEEKDAY(C37,1)=4,"Wednesday",WEEKDAY(C37,1)=5,"Thursday",WEEKDAY(C37,1)=6,"Friday",WEEKDAY(C37,1)=7,"Saturday")</f>
        <v>Tuesday</v>
      </c>
      <c r="B37" s="61" t="s">
        <v>391</v>
      </c>
      <c r="C37" s="62">
        <f t="shared" si="4"/>
        <v>44901</v>
      </c>
      <c r="D37" s="62">
        <v>44901</v>
      </c>
      <c r="E37" s="63">
        <v>0.125</v>
      </c>
      <c r="F37" s="60" t="s">
        <v>95</v>
      </c>
      <c r="G37" s="60" t="s">
        <v>358</v>
      </c>
      <c r="H37" s="61">
        <v>7</v>
      </c>
      <c r="I37" s="61">
        <v>0</v>
      </c>
      <c r="J37" s="61">
        <v>39</v>
      </c>
      <c r="K37" s="61">
        <v>39</v>
      </c>
      <c r="L37" s="61"/>
      <c r="M37" s="61" t="str" cm="1">
        <f t="array" ref="M37">_xlfn.IFS(WEEKDAY(N37,1)=1,"Sunday",WEEKDAY(N37,1)=2,"Monday",WEEKDAY(N37,1)=3,"Tuesday",WEEKDAY(N37,1)=4,"Wednesday",WEEKDAY(N37,1)=5,"Thursday",WEEKDAY(N37,1)=6,"Friday",WEEKDAY(N37,1)=7,"Saturday")</f>
        <v>Tuesday</v>
      </c>
      <c r="N37" s="62">
        <v>44901</v>
      </c>
      <c r="O37" s="63">
        <v>0.125</v>
      </c>
      <c r="P37" s="60" t="s">
        <v>95</v>
      </c>
      <c r="Q37" s="60" t="s">
        <v>140</v>
      </c>
      <c r="R37" s="60" t="s">
        <v>199</v>
      </c>
      <c r="S37" s="68">
        <v>56.410256410256409</v>
      </c>
      <c r="T37" s="61">
        <v>39</v>
      </c>
      <c r="V37">
        <f t="shared" si="0"/>
        <v>33345</v>
      </c>
      <c r="W37" s="1">
        <f t="shared" si="1"/>
        <v>855</v>
      </c>
      <c r="X37">
        <f t="shared" si="2"/>
        <v>167.99999999999997</v>
      </c>
      <c r="Y37" s="55">
        <f t="shared" si="5"/>
        <v>0.5641025641025641</v>
      </c>
    </row>
    <row r="38" spans="1:25" x14ac:dyDescent="0.25">
      <c r="A38" s="61" t="str" cm="1">
        <f t="array" ref="A38">_xlfn.IFS(WEEKDAY(C38,1)=1,"Sunday",WEEKDAY(C38,1)=2,"Monday",WEEKDAY(C38,1)=3,"Tuesday",WEEKDAY(C38,1)=4,"Wednesday",WEEKDAY(C38,1)=5,"Thursday",WEEKDAY(C38,1)=6,"Friday",WEEKDAY(C38,1)=7,"Saturday")</f>
        <v>Tuesday</v>
      </c>
      <c r="B38" s="61" t="s">
        <v>391</v>
      </c>
      <c r="C38" s="62">
        <f t="shared" si="4"/>
        <v>44901</v>
      </c>
      <c r="D38" s="62">
        <v>44901</v>
      </c>
      <c r="E38" s="63">
        <v>0.16666666666666666</v>
      </c>
      <c r="F38" s="60" t="s">
        <v>95</v>
      </c>
      <c r="G38" s="60" t="s">
        <v>240</v>
      </c>
      <c r="H38" s="61">
        <v>0</v>
      </c>
      <c r="I38" s="61">
        <v>0</v>
      </c>
      <c r="J38" s="61">
        <v>29</v>
      </c>
      <c r="K38" s="61">
        <v>29</v>
      </c>
      <c r="L38" s="61"/>
      <c r="M38" s="61" t="str" cm="1">
        <f t="array" ref="M38">_xlfn.IFS(WEEKDAY(N38,1)=1,"Sunday",WEEKDAY(N38,1)=2,"Monday",WEEKDAY(N38,1)=3,"Tuesday",WEEKDAY(N38,1)=4,"Wednesday",WEEKDAY(N38,1)=5,"Thursday",WEEKDAY(N38,1)=6,"Friday",WEEKDAY(N38,1)=7,"Saturday")</f>
        <v>Tuesday</v>
      </c>
      <c r="N38" s="62">
        <v>44901</v>
      </c>
      <c r="O38" s="63">
        <v>0.16666666666666666</v>
      </c>
      <c r="P38" s="60" t="s">
        <v>95</v>
      </c>
      <c r="Q38" s="60" t="s">
        <v>209</v>
      </c>
      <c r="R38" s="60" t="s">
        <v>295</v>
      </c>
      <c r="S38" s="68">
        <v>72.41379310344827</v>
      </c>
      <c r="T38" s="61">
        <v>29</v>
      </c>
      <c r="V38">
        <f t="shared" si="0"/>
        <v>22735.999999999996</v>
      </c>
      <c r="W38" s="1">
        <f t="shared" si="1"/>
        <v>783.99999999999989</v>
      </c>
      <c r="X38">
        <f t="shared" si="2"/>
        <v>115</v>
      </c>
      <c r="Y38" s="55">
        <f t="shared" si="5"/>
        <v>0.72413793103448265</v>
      </c>
    </row>
    <row r="39" spans="1:25" x14ac:dyDescent="0.25">
      <c r="A39" s="61" t="str" cm="1">
        <f t="array" ref="A39">_xlfn.IFS(WEEKDAY(C39,1)=1,"Sunday",WEEKDAY(C39,1)=2,"Monday",WEEKDAY(C39,1)=3,"Tuesday",WEEKDAY(C39,1)=4,"Wednesday",WEEKDAY(C39,1)=5,"Thursday",WEEKDAY(C39,1)=6,"Friday",WEEKDAY(C39,1)=7,"Saturday")</f>
        <v>Wednesday</v>
      </c>
      <c r="B39" s="61" t="s">
        <v>391</v>
      </c>
      <c r="C39" s="62">
        <f t="shared" si="4"/>
        <v>44902</v>
      </c>
      <c r="D39" s="62">
        <v>44902</v>
      </c>
      <c r="E39" s="63">
        <v>0.33333333333333331</v>
      </c>
      <c r="F39" s="60" t="s">
        <v>94</v>
      </c>
      <c r="G39" s="60" t="s">
        <v>132</v>
      </c>
      <c r="H39" s="61">
        <v>0</v>
      </c>
      <c r="I39" s="61">
        <v>1</v>
      </c>
      <c r="J39" s="61">
        <v>14</v>
      </c>
      <c r="K39" s="61">
        <v>15</v>
      </c>
      <c r="L39" s="61"/>
      <c r="M39" s="61" t="str" cm="1">
        <f t="array" ref="M39">_xlfn.IFS(WEEKDAY(N39,1)=1,"Sunday",WEEKDAY(N39,1)=2,"Monday",WEEKDAY(N39,1)=3,"Tuesday",WEEKDAY(N39,1)=4,"Wednesday",WEEKDAY(N39,1)=5,"Thursday",WEEKDAY(N39,1)=6,"Friday",WEEKDAY(N39,1)=7,"Saturday")</f>
        <v>Wednesday</v>
      </c>
      <c r="N39" s="62">
        <v>44902</v>
      </c>
      <c r="O39" s="63">
        <v>0.33333333333333331</v>
      </c>
      <c r="P39" s="60" t="s">
        <v>94</v>
      </c>
      <c r="Q39" s="60" t="s">
        <v>228</v>
      </c>
      <c r="R39" s="60" t="s">
        <v>296</v>
      </c>
      <c r="S39" s="68">
        <v>50</v>
      </c>
      <c r="T39" s="61">
        <v>14</v>
      </c>
      <c r="V39">
        <f t="shared" si="0"/>
        <v>11700.000000000002</v>
      </c>
      <c r="W39" s="1">
        <f t="shared" si="1"/>
        <v>780.00000000000011</v>
      </c>
      <c r="X39">
        <f t="shared" si="2"/>
        <v>203</v>
      </c>
      <c r="Y39" s="55">
        <f t="shared" si="5"/>
        <v>0.5</v>
      </c>
    </row>
    <row r="40" spans="1:25" x14ac:dyDescent="0.25">
      <c r="A40" s="61" t="str" cm="1">
        <f t="array" ref="A40">_xlfn.IFS(WEEKDAY(C40,1)=1,"Sunday",WEEKDAY(C40,1)=2,"Monday",WEEKDAY(C40,1)=3,"Tuesday",WEEKDAY(C40,1)=4,"Wednesday",WEEKDAY(C40,1)=5,"Thursday",WEEKDAY(C40,1)=6,"Friday",WEEKDAY(C40,1)=7,"Saturday")</f>
        <v>Wednesday</v>
      </c>
      <c r="B40" s="61" t="s">
        <v>391</v>
      </c>
      <c r="C40" s="62">
        <f t="shared" si="4"/>
        <v>44902</v>
      </c>
      <c r="D40" s="62">
        <v>44902</v>
      </c>
      <c r="E40" s="63">
        <v>0.375</v>
      </c>
      <c r="F40" s="60" t="s">
        <v>94</v>
      </c>
      <c r="G40" s="60" t="s">
        <v>188</v>
      </c>
      <c r="H40" s="61">
        <v>3</v>
      </c>
      <c r="I40" s="61">
        <v>0</v>
      </c>
      <c r="J40" s="61">
        <v>16</v>
      </c>
      <c r="K40" s="61">
        <v>16</v>
      </c>
      <c r="L40" s="61"/>
      <c r="M40" s="61" t="str" cm="1">
        <f t="array" ref="M40">_xlfn.IFS(WEEKDAY(N40,1)=1,"Sunday",WEEKDAY(N40,1)=2,"Monday",WEEKDAY(N40,1)=3,"Tuesday",WEEKDAY(N40,1)=4,"Wednesday",WEEKDAY(N40,1)=5,"Thursday",WEEKDAY(N40,1)=6,"Friday",WEEKDAY(N40,1)=7,"Saturday")</f>
        <v>Wednesday</v>
      </c>
      <c r="N40" s="62">
        <v>44902</v>
      </c>
      <c r="O40" s="63">
        <v>0.375</v>
      </c>
      <c r="P40" s="60" t="s">
        <v>94</v>
      </c>
      <c r="Q40" s="60" t="s">
        <v>297</v>
      </c>
      <c r="R40" s="60" t="s">
        <v>131</v>
      </c>
      <c r="S40" s="68">
        <v>81.25</v>
      </c>
      <c r="T40" s="61">
        <v>16</v>
      </c>
      <c r="V40">
        <f t="shared" si="0"/>
        <v>19440</v>
      </c>
      <c r="W40" s="1">
        <f t="shared" si="1"/>
        <v>1215</v>
      </c>
      <c r="X40">
        <f t="shared" si="2"/>
        <v>18</v>
      </c>
      <c r="Y40" s="55">
        <f t="shared" si="5"/>
        <v>0.8125</v>
      </c>
    </row>
    <row r="41" spans="1:25" x14ac:dyDescent="0.25">
      <c r="A41" s="61" t="str" cm="1">
        <f t="array" ref="A41">_xlfn.IFS(WEEKDAY(C41,1)=1,"Sunday",WEEKDAY(C41,1)=2,"Monday",WEEKDAY(C41,1)=3,"Tuesday",WEEKDAY(C41,1)=4,"Wednesday",WEEKDAY(C41,1)=5,"Thursday",WEEKDAY(C41,1)=6,"Friday",WEEKDAY(C41,1)=7,"Saturday")</f>
        <v>Wednesday</v>
      </c>
      <c r="B41" s="61" t="s">
        <v>391</v>
      </c>
      <c r="C41" s="62">
        <f t="shared" si="4"/>
        <v>44902</v>
      </c>
      <c r="D41" s="62">
        <v>44902</v>
      </c>
      <c r="E41" s="63">
        <v>0.41666666666666669</v>
      </c>
      <c r="F41" s="60" t="s">
        <v>94</v>
      </c>
      <c r="G41" s="60" t="s">
        <v>161</v>
      </c>
      <c r="H41" s="61">
        <v>7</v>
      </c>
      <c r="I41" s="61">
        <v>0</v>
      </c>
      <c r="J41" s="61">
        <v>34</v>
      </c>
      <c r="K41" s="61">
        <v>34</v>
      </c>
      <c r="L41" s="61"/>
      <c r="M41" s="61" t="str" cm="1">
        <f t="array" ref="M41">_xlfn.IFS(WEEKDAY(N41,1)=1,"Sunday",WEEKDAY(N41,1)=2,"Monday",WEEKDAY(N41,1)=3,"Tuesday",WEEKDAY(N41,1)=4,"Wednesday",WEEKDAY(N41,1)=5,"Thursday",WEEKDAY(N41,1)=6,"Friday",WEEKDAY(N41,1)=7,"Saturday")</f>
        <v>Wednesday</v>
      </c>
      <c r="N41" s="62">
        <v>44902</v>
      </c>
      <c r="O41" s="63">
        <v>0.41666666666666669</v>
      </c>
      <c r="P41" s="60" t="s">
        <v>94</v>
      </c>
      <c r="Q41" s="60" t="s">
        <v>99</v>
      </c>
      <c r="R41" s="60" t="s">
        <v>93</v>
      </c>
      <c r="S41" s="68">
        <v>55.882352941176471</v>
      </c>
      <c r="T41" s="61">
        <v>34</v>
      </c>
      <c r="V41">
        <f t="shared" si="0"/>
        <v>26690</v>
      </c>
      <c r="W41" s="1">
        <f t="shared" si="1"/>
        <v>785</v>
      </c>
      <c r="X41">
        <f t="shared" si="2"/>
        <v>89</v>
      </c>
      <c r="Y41" s="55">
        <f t="shared" si="5"/>
        <v>0.55882352941176472</v>
      </c>
    </row>
    <row r="42" spans="1:25" x14ac:dyDescent="0.25">
      <c r="A42" s="61" t="str" cm="1">
        <f t="array" ref="A42">_xlfn.IFS(WEEKDAY(C42,1)=1,"Sunday",WEEKDAY(C42,1)=2,"Monday",WEEKDAY(C42,1)=3,"Tuesday",WEEKDAY(C42,1)=4,"Wednesday",WEEKDAY(C42,1)=5,"Thursday",WEEKDAY(C42,1)=6,"Friday",WEEKDAY(C42,1)=7,"Saturday")</f>
        <v>Wednesday</v>
      </c>
      <c r="B42" s="61" t="s">
        <v>391</v>
      </c>
      <c r="C42" s="62">
        <f t="shared" si="4"/>
        <v>44902</v>
      </c>
      <c r="D42" s="62">
        <v>44902</v>
      </c>
      <c r="E42" s="63">
        <v>0.45833333333333331</v>
      </c>
      <c r="F42" s="60" t="s">
        <v>94</v>
      </c>
      <c r="G42" s="60" t="s">
        <v>138</v>
      </c>
      <c r="H42" s="61">
        <v>2</v>
      </c>
      <c r="I42" s="61">
        <v>0</v>
      </c>
      <c r="J42" s="61">
        <v>31</v>
      </c>
      <c r="K42" s="61">
        <v>31</v>
      </c>
      <c r="L42" s="61"/>
      <c r="M42" s="61" t="str" cm="1">
        <f t="array" ref="M42">_xlfn.IFS(WEEKDAY(N42,1)=1,"Sunday",WEEKDAY(N42,1)=2,"Monday",WEEKDAY(N42,1)=3,"Tuesday",WEEKDAY(N42,1)=4,"Wednesday",WEEKDAY(N42,1)=5,"Thursday",WEEKDAY(N42,1)=6,"Friday",WEEKDAY(N42,1)=7,"Saturday")</f>
        <v>Wednesday</v>
      </c>
      <c r="N42" s="62">
        <v>44902</v>
      </c>
      <c r="O42" s="63">
        <v>0.45833333333333331</v>
      </c>
      <c r="P42" s="60" t="s">
        <v>94</v>
      </c>
      <c r="Q42" s="60" t="s">
        <v>223</v>
      </c>
      <c r="R42" s="60" t="s">
        <v>125</v>
      </c>
      <c r="S42" s="68">
        <v>93.548387096774192</v>
      </c>
      <c r="T42" s="61">
        <v>31</v>
      </c>
      <c r="V42">
        <f t="shared" si="0"/>
        <v>31837.000000000007</v>
      </c>
      <c r="W42" s="1">
        <f t="shared" si="1"/>
        <v>1027.0000000000002</v>
      </c>
      <c r="X42">
        <f t="shared" si="2"/>
        <v>13.000000000000002</v>
      </c>
      <c r="Y42" s="55">
        <f t="shared" si="5"/>
        <v>0.93548387096774188</v>
      </c>
    </row>
    <row r="43" spans="1:25" x14ac:dyDescent="0.25">
      <c r="A43" s="61" t="str" cm="1">
        <f t="array" ref="A43">_xlfn.IFS(WEEKDAY(C43,1)=1,"Sunday",WEEKDAY(C43,1)=2,"Monday",WEEKDAY(C43,1)=3,"Tuesday",WEEKDAY(C43,1)=4,"Wednesday",WEEKDAY(C43,1)=5,"Thursday",WEEKDAY(C43,1)=6,"Friday",WEEKDAY(C43,1)=7,"Saturday")</f>
        <v>Wednesday</v>
      </c>
      <c r="B43" s="61" t="s">
        <v>391</v>
      </c>
      <c r="C43" s="62">
        <f t="shared" si="4"/>
        <v>44902</v>
      </c>
      <c r="D43" s="62">
        <v>44902</v>
      </c>
      <c r="E43" s="63">
        <v>0.5</v>
      </c>
      <c r="F43" s="60" t="s">
        <v>95</v>
      </c>
      <c r="G43" s="60" t="s">
        <v>165</v>
      </c>
      <c r="H43" s="61">
        <v>5</v>
      </c>
      <c r="I43" s="61">
        <v>0</v>
      </c>
      <c r="J43" s="61">
        <v>40</v>
      </c>
      <c r="K43" s="61">
        <v>40</v>
      </c>
      <c r="L43" s="61"/>
      <c r="M43" s="61" t="str" cm="1">
        <f t="array" ref="M43">_xlfn.IFS(WEEKDAY(N43,1)=1,"Sunday",WEEKDAY(N43,1)=2,"Monday",WEEKDAY(N43,1)=3,"Tuesday",WEEKDAY(N43,1)=4,"Wednesday",WEEKDAY(N43,1)=5,"Thursday",WEEKDAY(N43,1)=6,"Friday",WEEKDAY(N43,1)=7,"Saturday")</f>
        <v>Wednesday</v>
      </c>
      <c r="N43" s="62">
        <v>44902</v>
      </c>
      <c r="O43" s="63">
        <v>0.5</v>
      </c>
      <c r="P43" s="60" t="s">
        <v>95</v>
      </c>
      <c r="Q43" s="60" t="s">
        <v>264</v>
      </c>
      <c r="R43" s="60" t="s">
        <v>191</v>
      </c>
      <c r="S43" s="68">
        <v>75</v>
      </c>
      <c r="T43" s="61">
        <v>40</v>
      </c>
      <c r="V43">
        <f t="shared" si="0"/>
        <v>34800</v>
      </c>
      <c r="W43" s="1">
        <f t="shared" si="1"/>
        <v>870</v>
      </c>
      <c r="X43">
        <f t="shared" si="2"/>
        <v>43.999999999999993</v>
      </c>
      <c r="Y43" s="55">
        <f t="shared" si="5"/>
        <v>0.75</v>
      </c>
    </row>
    <row r="44" spans="1:25" x14ac:dyDescent="0.25">
      <c r="A44" s="61" t="str" cm="1">
        <f t="array" ref="A44">_xlfn.IFS(WEEKDAY(C44,1)=1,"Sunday",WEEKDAY(C44,1)=2,"Monday",WEEKDAY(C44,1)=3,"Tuesday",WEEKDAY(C44,1)=4,"Wednesday",WEEKDAY(C44,1)=5,"Thursday",WEEKDAY(C44,1)=6,"Friday",WEEKDAY(C44,1)=7,"Saturday")</f>
        <v>Wednesday</v>
      </c>
      <c r="B44" s="61" t="s">
        <v>391</v>
      </c>
      <c r="C44" s="62">
        <f t="shared" si="4"/>
        <v>44902</v>
      </c>
      <c r="D44" s="62">
        <v>44902</v>
      </c>
      <c r="E44" s="63">
        <v>4.1666666666666664E-2</v>
      </c>
      <c r="F44" s="60" t="s">
        <v>95</v>
      </c>
      <c r="G44" s="60" t="s">
        <v>164</v>
      </c>
      <c r="H44" s="61">
        <v>5</v>
      </c>
      <c r="I44" s="61">
        <v>0</v>
      </c>
      <c r="J44" s="61">
        <v>39</v>
      </c>
      <c r="K44" s="61">
        <v>40</v>
      </c>
      <c r="L44" s="61"/>
      <c r="M44" s="61" t="str" cm="1">
        <f t="array" ref="M44">_xlfn.IFS(WEEKDAY(N44,1)=1,"Sunday",WEEKDAY(N44,1)=2,"Monday",WEEKDAY(N44,1)=3,"Tuesday",WEEKDAY(N44,1)=4,"Wednesday",WEEKDAY(N44,1)=5,"Thursday",WEEKDAY(N44,1)=6,"Friday",WEEKDAY(N44,1)=7,"Saturday")</f>
        <v>Wednesday</v>
      </c>
      <c r="N44" s="62">
        <v>44902</v>
      </c>
      <c r="O44" s="63">
        <v>4.1666666666666664E-2</v>
      </c>
      <c r="P44" s="60" t="s">
        <v>95</v>
      </c>
      <c r="Q44" s="60" t="s">
        <v>181</v>
      </c>
      <c r="R44" s="60" t="s">
        <v>164</v>
      </c>
      <c r="S44" s="68">
        <v>92.307692307692307</v>
      </c>
      <c r="T44" s="61">
        <v>39</v>
      </c>
      <c r="V44">
        <f t="shared" si="0"/>
        <v>33440</v>
      </c>
      <c r="W44" s="1">
        <f t="shared" si="1"/>
        <v>836</v>
      </c>
      <c r="X44">
        <f t="shared" si="2"/>
        <v>16</v>
      </c>
      <c r="Y44" s="55">
        <f t="shared" si="5"/>
        <v>0.92307692307692302</v>
      </c>
    </row>
    <row r="45" spans="1:25" x14ac:dyDescent="0.25">
      <c r="A45" s="61" t="str" cm="1">
        <f t="array" ref="A45">_xlfn.IFS(WEEKDAY(C45,1)=1,"Sunday",WEEKDAY(C45,1)=2,"Monday",WEEKDAY(C45,1)=3,"Tuesday",WEEKDAY(C45,1)=4,"Wednesday",WEEKDAY(C45,1)=5,"Thursday",WEEKDAY(C45,1)=6,"Friday",WEEKDAY(C45,1)=7,"Saturday")</f>
        <v>Wednesday</v>
      </c>
      <c r="B45" s="61" t="s">
        <v>391</v>
      </c>
      <c r="C45" s="62">
        <f t="shared" si="4"/>
        <v>44902</v>
      </c>
      <c r="D45" s="62">
        <v>44902</v>
      </c>
      <c r="E45" s="63">
        <v>8.3333333333333329E-2</v>
      </c>
      <c r="F45" s="60" t="s">
        <v>95</v>
      </c>
      <c r="G45" s="60" t="s">
        <v>125</v>
      </c>
      <c r="H45" s="61">
        <v>3</v>
      </c>
      <c r="I45" s="61">
        <v>0</v>
      </c>
      <c r="J45" s="61">
        <v>35</v>
      </c>
      <c r="K45" s="61">
        <v>35</v>
      </c>
      <c r="L45" s="61"/>
      <c r="M45" s="61" t="str" cm="1">
        <f t="array" ref="M45">_xlfn.IFS(WEEKDAY(N45,1)=1,"Sunday",WEEKDAY(N45,1)=2,"Monday",WEEKDAY(N45,1)=3,"Tuesday",WEEKDAY(N45,1)=4,"Wednesday",WEEKDAY(N45,1)=5,"Thursday",WEEKDAY(N45,1)=6,"Friday",WEEKDAY(N45,1)=7,"Saturday")</f>
        <v>Wednesday</v>
      </c>
      <c r="N45" s="62">
        <v>44902</v>
      </c>
      <c r="O45" s="63">
        <v>8.3333333333333329E-2</v>
      </c>
      <c r="P45" s="60" t="s">
        <v>95</v>
      </c>
      <c r="Q45" s="60" t="s">
        <v>88</v>
      </c>
      <c r="R45" s="60" t="s">
        <v>106</v>
      </c>
      <c r="S45" s="68">
        <v>94.285714285714278</v>
      </c>
      <c r="T45" s="61">
        <v>35</v>
      </c>
      <c r="V45">
        <f t="shared" si="0"/>
        <v>31290.000000000004</v>
      </c>
      <c r="W45" s="1">
        <f t="shared" si="1"/>
        <v>894.00000000000011</v>
      </c>
      <c r="X45">
        <f t="shared" si="2"/>
        <v>12</v>
      </c>
      <c r="Y45" s="55">
        <f t="shared" si="5"/>
        <v>0.94285714285714273</v>
      </c>
    </row>
    <row r="46" spans="1:25" x14ac:dyDescent="0.25">
      <c r="A46" s="61" t="str" cm="1">
        <f t="array" ref="A46">_xlfn.IFS(WEEKDAY(C46,1)=1,"Sunday",WEEKDAY(C46,1)=2,"Monday",WEEKDAY(C46,1)=3,"Tuesday",WEEKDAY(C46,1)=4,"Wednesday",WEEKDAY(C46,1)=5,"Thursday",WEEKDAY(C46,1)=6,"Friday",WEEKDAY(C46,1)=7,"Saturday")</f>
        <v>Wednesday</v>
      </c>
      <c r="B46" s="61" t="s">
        <v>391</v>
      </c>
      <c r="C46" s="62">
        <f t="shared" si="4"/>
        <v>44902</v>
      </c>
      <c r="D46" s="62">
        <v>44902</v>
      </c>
      <c r="E46" s="63">
        <v>0.125</v>
      </c>
      <c r="F46" s="60" t="s">
        <v>95</v>
      </c>
      <c r="G46" s="60" t="s">
        <v>105</v>
      </c>
      <c r="H46" s="61">
        <v>6</v>
      </c>
      <c r="I46" s="61">
        <v>0</v>
      </c>
      <c r="J46" s="61">
        <v>32</v>
      </c>
      <c r="K46" s="61">
        <v>32</v>
      </c>
      <c r="L46" s="61"/>
      <c r="M46" s="61" t="str" cm="1">
        <f t="array" ref="M46">_xlfn.IFS(WEEKDAY(N46,1)=1,"Sunday",WEEKDAY(N46,1)=2,"Monday",WEEKDAY(N46,1)=3,"Tuesday",WEEKDAY(N46,1)=4,"Wednesday",WEEKDAY(N46,1)=5,"Thursday",WEEKDAY(N46,1)=6,"Friday",WEEKDAY(N46,1)=7,"Saturday")</f>
        <v>Wednesday</v>
      </c>
      <c r="N46" s="62">
        <v>44902</v>
      </c>
      <c r="O46" s="63">
        <v>0.125</v>
      </c>
      <c r="P46" s="60" t="s">
        <v>95</v>
      </c>
      <c r="Q46" s="60" t="s">
        <v>74</v>
      </c>
      <c r="R46" s="60" t="s">
        <v>143</v>
      </c>
      <c r="S46" s="68">
        <v>75</v>
      </c>
      <c r="T46" s="61">
        <v>32</v>
      </c>
      <c r="V46">
        <f t="shared" si="0"/>
        <v>26624.000000000004</v>
      </c>
      <c r="W46" s="1">
        <f t="shared" si="1"/>
        <v>832.00000000000011</v>
      </c>
      <c r="X46">
        <f t="shared" si="2"/>
        <v>54</v>
      </c>
      <c r="Y46" s="55">
        <f t="shared" si="5"/>
        <v>0.75</v>
      </c>
    </row>
    <row r="47" spans="1:25" x14ac:dyDescent="0.25">
      <c r="A47" s="61" t="str" cm="1">
        <f t="array" ref="A47">_xlfn.IFS(WEEKDAY(C47,1)=1,"Sunday",WEEKDAY(C47,1)=2,"Monday",WEEKDAY(C47,1)=3,"Tuesday",WEEKDAY(C47,1)=4,"Wednesday",WEEKDAY(C47,1)=5,"Thursday",WEEKDAY(C47,1)=6,"Friday",WEEKDAY(C47,1)=7,"Saturday")</f>
        <v>Wednesday</v>
      </c>
      <c r="B47" s="61" t="s">
        <v>391</v>
      </c>
      <c r="C47" s="62">
        <f t="shared" si="4"/>
        <v>44902</v>
      </c>
      <c r="D47" s="62">
        <v>44902</v>
      </c>
      <c r="E47" s="63">
        <v>0.16666666666666666</v>
      </c>
      <c r="F47" s="60" t="s">
        <v>95</v>
      </c>
      <c r="G47" s="60" t="s">
        <v>134</v>
      </c>
      <c r="H47" s="61">
        <v>3</v>
      </c>
      <c r="I47" s="61">
        <v>0</v>
      </c>
      <c r="J47" s="61">
        <v>14</v>
      </c>
      <c r="K47" s="61">
        <v>14</v>
      </c>
      <c r="L47" s="61"/>
      <c r="M47" s="61" t="str" cm="1">
        <f t="array" ref="M47">_xlfn.IFS(WEEKDAY(N47,1)=1,"Sunday",WEEKDAY(N47,1)=2,"Monday",WEEKDAY(N47,1)=3,"Tuesday",WEEKDAY(N47,1)=4,"Wednesday",WEEKDAY(N47,1)=5,"Thursday",WEEKDAY(N47,1)=6,"Friday",WEEKDAY(N47,1)=7,"Saturday")</f>
        <v>Wednesday</v>
      </c>
      <c r="N47" s="62">
        <v>44902</v>
      </c>
      <c r="O47" s="63">
        <v>0.16666666666666666</v>
      </c>
      <c r="P47" s="60" t="s">
        <v>95</v>
      </c>
      <c r="Q47" s="60" t="s">
        <v>263</v>
      </c>
      <c r="R47" s="60" t="s">
        <v>188</v>
      </c>
      <c r="S47" s="68">
        <v>78.571428571428569</v>
      </c>
      <c r="T47" s="61">
        <v>14</v>
      </c>
      <c r="V47">
        <f t="shared" si="0"/>
        <v>15050</v>
      </c>
      <c r="W47" s="1">
        <f t="shared" si="1"/>
        <v>1075</v>
      </c>
      <c r="X47">
        <f t="shared" si="2"/>
        <v>19</v>
      </c>
      <c r="Y47" s="55">
        <f t="shared" si="5"/>
        <v>0.7857142857142857</v>
      </c>
    </row>
    <row r="48" spans="1:25" x14ac:dyDescent="0.25">
      <c r="A48" s="61" t="str" cm="1">
        <f t="array" ref="A48">_xlfn.IFS(WEEKDAY(C48,1)=1,"Sunday",WEEKDAY(C48,1)=2,"Monday",WEEKDAY(C48,1)=3,"Tuesday",WEEKDAY(C48,1)=4,"Wednesday",WEEKDAY(C48,1)=5,"Thursday",WEEKDAY(C48,1)=6,"Friday",WEEKDAY(C48,1)=7,"Saturday")</f>
        <v>Thursday</v>
      </c>
      <c r="B48" s="61" t="s">
        <v>391</v>
      </c>
      <c r="C48" s="62">
        <f t="shared" si="4"/>
        <v>44903</v>
      </c>
      <c r="D48" s="62">
        <v>44903</v>
      </c>
      <c r="E48" s="63">
        <v>0.33333333333333331</v>
      </c>
      <c r="F48" s="60" t="s">
        <v>94</v>
      </c>
      <c r="G48" s="60" t="s">
        <v>169</v>
      </c>
      <c r="H48" s="61">
        <v>2</v>
      </c>
      <c r="I48" s="61">
        <v>0</v>
      </c>
      <c r="J48" s="61">
        <v>14</v>
      </c>
      <c r="K48" s="61">
        <v>14</v>
      </c>
      <c r="L48" s="61"/>
      <c r="M48" s="61" t="str" cm="1">
        <f t="array" ref="M48">_xlfn.IFS(WEEKDAY(N48,1)=1,"Sunday",WEEKDAY(N48,1)=2,"Monday",WEEKDAY(N48,1)=3,"Tuesday",WEEKDAY(N48,1)=4,"Wednesday",WEEKDAY(N48,1)=5,"Thursday",WEEKDAY(N48,1)=6,"Friday",WEEKDAY(N48,1)=7,"Saturday")</f>
        <v>Thursday</v>
      </c>
      <c r="N48" s="62">
        <v>44903</v>
      </c>
      <c r="O48" s="63">
        <v>0.33333333333333331</v>
      </c>
      <c r="P48" s="60" t="s">
        <v>94</v>
      </c>
      <c r="Q48" s="60" t="s">
        <v>298</v>
      </c>
      <c r="R48" s="60" t="s">
        <v>198</v>
      </c>
      <c r="S48" s="68">
        <v>78.571428571428569</v>
      </c>
      <c r="T48" s="61">
        <v>14</v>
      </c>
      <c r="V48">
        <f t="shared" si="0"/>
        <v>13187.999999999998</v>
      </c>
      <c r="W48" s="1">
        <f t="shared" si="1"/>
        <v>941.99999999999989</v>
      </c>
      <c r="X48">
        <f t="shared" si="2"/>
        <v>33</v>
      </c>
      <c r="Y48" s="55">
        <f t="shared" si="5"/>
        <v>0.7857142857142857</v>
      </c>
    </row>
    <row r="49" spans="1:25" x14ac:dyDescent="0.25">
      <c r="A49" s="61" t="str" cm="1">
        <f t="array" ref="A49">_xlfn.IFS(WEEKDAY(C49,1)=1,"Sunday",WEEKDAY(C49,1)=2,"Monday",WEEKDAY(C49,1)=3,"Tuesday",WEEKDAY(C49,1)=4,"Wednesday",WEEKDAY(C49,1)=5,"Thursday",WEEKDAY(C49,1)=6,"Friday",WEEKDAY(C49,1)=7,"Saturday")</f>
        <v>Thursday</v>
      </c>
      <c r="B49" s="61" t="s">
        <v>391</v>
      </c>
      <c r="C49" s="62">
        <f t="shared" si="4"/>
        <v>44903</v>
      </c>
      <c r="D49" s="62">
        <v>44903</v>
      </c>
      <c r="E49" s="63">
        <v>0.375</v>
      </c>
      <c r="F49" s="60" t="s">
        <v>94</v>
      </c>
      <c r="G49" s="60" t="s">
        <v>348</v>
      </c>
      <c r="H49" s="61">
        <v>5</v>
      </c>
      <c r="I49" s="61">
        <v>1</v>
      </c>
      <c r="J49" s="61">
        <v>27</v>
      </c>
      <c r="K49" s="61">
        <v>28</v>
      </c>
      <c r="L49" s="61"/>
      <c r="M49" s="61" t="str" cm="1">
        <f t="array" ref="M49">_xlfn.IFS(WEEKDAY(N49,1)=1,"Sunday",WEEKDAY(N49,1)=2,"Monday",WEEKDAY(N49,1)=3,"Tuesday",WEEKDAY(N49,1)=4,"Wednesday",WEEKDAY(N49,1)=5,"Thursday",WEEKDAY(N49,1)=6,"Friday",WEEKDAY(N49,1)=7,"Saturday")</f>
        <v>Thursday</v>
      </c>
      <c r="N49" s="62">
        <v>44903</v>
      </c>
      <c r="O49" s="63">
        <v>0.375</v>
      </c>
      <c r="P49" s="60" t="s">
        <v>94</v>
      </c>
      <c r="Q49" s="60" t="s">
        <v>299</v>
      </c>
      <c r="R49" s="60" t="s">
        <v>182</v>
      </c>
      <c r="S49" s="68">
        <v>44.444444444444443</v>
      </c>
      <c r="T49" s="61">
        <v>27</v>
      </c>
      <c r="V49">
        <f t="shared" si="0"/>
        <v>31415.999999999993</v>
      </c>
      <c r="W49" s="1">
        <f t="shared" si="1"/>
        <v>1121.9999999999998</v>
      </c>
      <c r="X49">
        <f t="shared" si="2"/>
        <v>195.00000000000003</v>
      </c>
      <c r="Y49" s="55">
        <f t="shared" si="5"/>
        <v>0.44444444444444442</v>
      </c>
    </row>
    <row r="50" spans="1:25" x14ac:dyDescent="0.25">
      <c r="A50" s="61" t="str" cm="1">
        <f t="array" ref="A50">_xlfn.IFS(WEEKDAY(C50,1)=1,"Sunday",WEEKDAY(C50,1)=2,"Monday",WEEKDAY(C50,1)=3,"Tuesday",WEEKDAY(C50,1)=4,"Wednesday",WEEKDAY(C50,1)=5,"Thursday",WEEKDAY(C50,1)=6,"Friday",WEEKDAY(C50,1)=7,"Saturday")</f>
        <v>Thursday</v>
      </c>
      <c r="B50" s="61" t="s">
        <v>391</v>
      </c>
      <c r="C50" s="62">
        <f t="shared" si="4"/>
        <v>44903</v>
      </c>
      <c r="D50" s="62">
        <v>44903</v>
      </c>
      <c r="E50" s="63">
        <v>0.41666666666666669</v>
      </c>
      <c r="F50" s="60" t="s">
        <v>94</v>
      </c>
      <c r="G50" s="60" t="s">
        <v>289</v>
      </c>
      <c r="H50" s="61">
        <v>3</v>
      </c>
      <c r="I50" s="61">
        <v>0</v>
      </c>
      <c r="J50" s="61">
        <v>27</v>
      </c>
      <c r="K50" s="61">
        <v>27</v>
      </c>
      <c r="L50" s="61"/>
      <c r="M50" s="61" t="str" cm="1">
        <f t="array" ref="M50">_xlfn.IFS(WEEKDAY(N50,1)=1,"Sunday",WEEKDAY(N50,1)=2,"Monday",WEEKDAY(N50,1)=3,"Tuesday",WEEKDAY(N50,1)=4,"Wednesday",WEEKDAY(N50,1)=5,"Thursday",WEEKDAY(N50,1)=6,"Friday",WEEKDAY(N50,1)=7,"Saturday")</f>
        <v>Thursday</v>
      </c>
      <c r="N50" s="62">
        <v>44903</v>
      </c>
      <c r="O50" s="63">
        <v>0.41666666666666669</v>
      </c>
      <c r="P50" s="60" t="s">
        <v>94</v>
      </c>
      <c r="Q50" s="60" t="s">
        <v>219</v>
      </c>
      <c r="R50" s="60" t="s">
        <v>89</v>
      </c>
      <c r="S50" s="68">
        <v>70.370370370370367</v>
      </c>
      <c r="T50" s="61">
        <v>27</v>
      </c>
      <c r="V50">
        <f t="shared" si="0"/>
        <v>26217.000000000004</v>
      </c>
      <c r="W50" s="1">
        <f t="shared" si="1"/>
        <v>971.00000000000011</v>
      </c>
      <c r="X50">
        <f t="shared" si="2"/>
        <v>75</v>
      </c>
      <c r="Y50" s="55">
        <f t="shared" si="5"/>
        <v>0.70370370370370372</v>
      </c>
    </row>
    <row r="51" spans="1:25" x14ac:dyDescent="0.25">
      <c r="A51" s="61" t="str" cm="1">
        <f t="array" ref="A51">_xlfn.IFS(WEEKDAY(C51,1)=1,"Sunday",WEEKDAY(C51,1)=2,"Monday",WEEKDAY(C51,1)=3,"Tuesday",WEEKDAY(C51,1)=4,"Wednesday",WEEKDAY(C51,1)=5,"Thursday",WEEKDAY(C51,1)=6,"Friday",WEEKDAY(C51,1)=7,"Saturday")</f>
        <v>Thursday</v>
      </c>
      <c r="B51" s="61" t="s">
        <v>391</v>
      </c>
      <c r="C51" s="62">
        <f t="shared" si="4"/>
        <v>44903</v>
      </c>
      <c r="D51" s="62">
        <v>44903</v>
      </c>
      <c r="E51" s="63">
        <v>0.45833333333333331</v>
      </c>
      <c r="F51" s="60" t="s">
        <v>94</v>
      </c>
      <c r="G51" s="60" t="s">
        <v>164</v>
      </c>
      <c r="H51" s="61">
        <v>4</v>
      </c>
      <c r="I51" s="61">
        <v>0</v>
      </c>
      <c r="J51" s="61">
        <v>41</v>
      </c>
      <c r="K51" s="61">
        <v>41</v>
      </c>
      <c r="L51" s="61"/>
      <c r="M51" s="61" t="str" cm="1">
        <f t="array" ref="M51">_xlfn.IFS(WEEKDAY(N51,1)=1,"Sunday",WEEKDAY(N51,1)=2,"Monday",WEEKDAY(N51,1)=3,"Tuesday",WEEKDAY(N51,1)=4,"Wednesday",WEEKDAY(N51,1)=5,"Thursday",WEEKDAY(N51,1)=6,"Friday",WEEKDAY(N51,1)=7,"Saturday")</f>
        <v>Thursday</v>
      </c>
      <c r="N51" s="62">
        <v>44903</v>
      </c>
      <c r="O51" s="63">
        <v>0.45833333333333331</v>
      </c>
      <c r="P51" s="60" t="s">
        <v>94</v>
      </c>
      <c r="Q51" s="60" t="s">
        <v>300</v>
      </c>
      <c r="R51" s="60" t="s">
        <v>92</v>
      </c>
      <c r="S51" s="68">
        <v>92.682926829268297</v>
      </c>
      <c r="T51" s="61">
        <v>41</v>
      </c>
      <c r="V51">
        <f t="shared" si="0"/>
        <v>42025</v>
      </c>
      <c r="W51" s="1">
        <f t="shared" si="1"/>
        <v>1025</v>
      </c>
      <c r="X51">
        <f t="shared" si="2"/>
        <v>15</v>
      </c>
      <c r="Y51" s="55">
        <f t="shared" si="5"/>
        <v>0.92682926829268297</v>
      </c>
    </row>
    <row r="52" spans="1:25" x14ac:dyDescent="0.25">
      <c r="A52" s="61" t="str" cm="1">
        <f t="array" ref="A52">_xlfn.IFS(WEEKDAY(C52,1)=1,"Sunday",WEEKDAY(C52,1)=2,"Monday",WEEKDAY(C52,1)=3,"Tuesday",WEEKDAY(C52,1)=4,"Wednesday",WEEKDAY(C52,1)=5,"Thursday",WEEKDAY(C52,1)=6,"Friday",WEEKDAY(C52,1)=7,"Saturday")</f>
        <v>Thursday</v>
      </c>
      <c r="B52" s="61" t="s">
        <v>391</v>
      </c>
      <c r="C52" s="62">
        <f t="shared" si="4"/>
        <v>44903</v>
      </c>
      <c r="D52" s="62">
        <v>44903</v>
      </c>
      <c r="E52" s="63">
        <v>0.5</v>
      </c>
      <c r="F52" s="60" t="s">
        <v>95</v>
      </c>
      <c r="G52" s="60" t="s">
        <v>138</v>
      </c>
      <c r="H52" s="61">
        <v>0</v>
      </c>
      <c r="I52" s="61">
        <v>0</v>
      </c>
      <c r="J52" s="61">
        <v>21</v>
      </c>
      <c r="K52" s="61">
        <v>21</v>
      </c>
      <c r="L52" s="61"/>
      <c r="M52" s="61" t="str" cm="1">
        <f t="array" ref="M52">_xlfn.IFS(WEEKDAY(N52,1)=1,"Sunday",WEEKDAY(N52,1)=2,"Monday",WEEKDAY(N52,1)=3,"Tuesday",WEEKDAY(N52,1)=4,"Wednesday",WEEKDAY(N52,1)=5,"Thursday",WEEKDAY(N52,1)=6,"Friday",WEEKDAY(N52,1)=7,"Saturday")</f>
        <v>Thursday</v>
      </c>
      <c r="N52" s="62">
        <v>44903</v>
      </c>
      <c r="O52" s="63">
        <v>0.5</v>
      </c>
      <c r="P52" s="60" t="s">
        <v>95</v>
      </c>
      <c r="Q52" s="60" t="s">
        <v>220</v>
      </c>
      <c r="R52" s="60" t="s">
        <v>125</v>
      </c>
      <c r="S52" s="68">
        <v>95.238095238095227</v>
      </c>
      <c r="T52" s="61">
        <v>21</v>
      </c>
      <c r="V52">
        <f t="shared" si="0"/>
        <v>17262</v>
      </c>
      <c r="W52" s="1">
        <f t="shared" si="1"/>
        <v>822</v>
      </c>
      <c r="X52">
        <f t="shared" si="2"/>
        <v>13.000000000000002</v>
      </c>
      <c r="Y52" s="55">
        <f t="shared" si="5"/>
        <v>0.95238095238095222</v>
      </c>
    </row>
    <row r="53" spans="1:25" x14ac:dyDescent="0.25">
      <c r="A53" s="61" t="str" cm="1">
        <f t="array" ref="A53">_xlfn.IFS(WEEKDAY(C53,1)=1,"Sunday",WEEKDAY(C53,1)=2,"Monday",WEEKDAY(C53,1)=3,"Tuesday",WEEKDAY(C53,1)=4,"Wednesday",WEEKDAY(C53,1)=5,"Thursday",WEEKDAY(C53,1)=6,"Friday",WEEKDAY(C53,1)=7,"Saturday")</f>
        <v>Thursday</v>
      </c>
      <c r="B53" s="61" t="s">
        <v>391</v>
      </c>
      <c r="C53" s="62">
        <f t="shared" si="4"/>
        <v>44903</v>
      </c>
      <c r="D53" s="62">
        <v>44903</v>
      </c>
      <c r="E53" s="63">
        <v>4.1666666666666664E-2</v>
      </c>
      <c r="F53" s="60" t="s">
        <v>95</v>
      </c>
      <c r="G53" s="60" t="s">
        <v>123</v>
      </c>
      <c r="H53" s="61">
        <v>2</v>
      </c>
      <c r="I53" s="61">
        <v>0</v>
      </c>
      <c r="J53" s="61">
        <v>36</v>
      </c>
      <c r="K53" s="61">
        <v>36</v>
      </c>
      <c r="L53" s="61"/>
      <c r="M53" s="61" t="str" cm="1">
        <f t="array" ref="M53">_xlfn.IFS(WEEKDAY(N53,1)=1,"Sunday",WEEKDAY(N53,1)=2,"Monday",WEEKDAY(N53,1)=3,"Tuesday",WEEKDAY(N53,1)=4,"Wednesday",WEEKDAY(N53,1)=5,"Thursday",WEEKDAY(N53,1)=6,"Friday",WEEKDAY(N53,1)=7,"Saturday")</f>
        <v>Thursday</v>
      </c>
      <c r="N53" s="62">
        <v>44903</v>
      </c>
      <c r="O53" s="63">
        <v>4.1666666666666664E-2</v>
      </c>
      <c r="P53" s="60" t="s">
        <v>95</v>
      </c>
      <c r="Q53" s="60" t="s">
        <v>232</v>
      </c>
      <c r="R53" s="60" t="s">
        <v>134</v>
      </c>
      <c r="S53" s="68">
        <v>88.888888888888886</v>
      </c>
      <c r="T53" s="61">
        <v>36</v>
      </c>
      <c r="V53">
        <f t="shared" si="0"/>
        <v>34920.000000000007</v>
      </c>
      <c r="W53" s="1">
        <f t="shared" si="1"/>
        <v>970.00000000000023</v>
      </c>
      <c r="X53">
        <f t="shared" si="2"/>
        <v>20</v>
      </c>
      <c r="Y53" s="55">
        <f t="shared" si="5"/>
        <v>0.88888888888888884</v>
      </c>
    </row>
    <row r="54" spans="1:25" x14ac:dyDescent="0.25">
      <c r="A54" s="61" t="str" cm="1">
        <f t="array" ref="A54">_xlfn.IFS(WEEKDAY(C54,1)=1,"Sunday",WEEKDAY(C54,1)=2,"Monday",WEEKDAY(C54,1)=3,"Tuesday",WEEKDAY(C54,1)=4,"Wednesday",WEEKDAY(C54,1)=5,"Thursday",WEEKDAY(C54,1)=6,"Friday",WEEKDAY(C54,1)=7,"Saturday")</f>
        <v>Thursday</v>
      </c>
      <c r="B54" s="61" t="s">
        <v>391</v>
      </c>
      <c r="C54" s="62">
        <f t="shared" si="4"/>
        <v>44903</v>
      </c>
      <c r="D54" s="62">
        <v>44903</v>
      </c>
      <c r="E54" s="63">
        <v>8.3333333333333329E-2</v>
      </c>
      <c r="F54" s="60" t="s">
        <v>95</v>
      </c>
      <c r="G54" s="60" t="s">
        <v>106</v>
      </c>
      <c r="H54" s="61">
        <v>2</v>
      </c>
      <c r="I54" s="61">
        <v>0</v>
      </c>
      <c r="J54" s="61">
        <v>28</v>
      </c>
      <c r="K54" s="61">
        <v>28</v>
      </c>
      <c r="L54" s="61"/>
      <c r="M54" s="61" t="str" cm="1">
        <f t="array" ref="M54">_xlfn.IFS(WEEKDAY(N54,1)=1,"Sunday",WEEKDAY(N54,1)=2,"Monday",WEEKDAY(N54,1)=3,"Tuesday",WEEKDAY(N54,1)=4,"Wednesday",WEEKDAY(N54,1)=5,"Thursday",WEEKDAY(N54,1)=6,"Friday",WEEKDAY(N54,1)=7,"Saturday")</f>
        <v>Thursday</v>
      </c>
      <c r="N54" s="62">
        <v>44903</v>
      </c>
      <c r="O54" s="63">
        <v>8.3333333333333329E-2</v>
      </c>
      <c r="P54" s="60" t="s">
        <v>95</v>
      </c>
      <c r="Q54" s="60" t="s">
        <v>243</v>
      </c>
      <c r="R54" s="60" t="s">
        <v>124</v>
      </c>
      <c r="S54" s="68">
        <v>92.857142857142861</v>
      </c>
      <c r="T54" s="61">
        <v>28</v>
      </c>
      <c r="V54">
        <f t="shared" si="0"/>
        <v>23212</v>
      </c>
      <c r="W54" s="1">
        <f t="shared" si="1"/>
        <v>829</v>
      </c>
      <c r="X54">
        <f t="shared" si="2"/>
        <v>10.999999999999998</v>
      </c>
      <c r="Y54" s="55">
        <f t="shared" si="5"/>
        <v>0.9285714285714286</v>
      </c>
    </row>
    <row r="55" spans="1:25" x14ac:dyDescent="0.25">
      <c r="A55" s="61" t="str" cm="1">
        <f t="array" ref="A55">_xlfn.IFS(WEEKDAY(C55,1)=1,"Sunday",WEEKDAY(C55,1)=2,"Monday",WEEKDAY(C55,1)=3,"Tuesday",WEEKDAY(C55,1)=4,"Wednesday",WEEKDAY(C55,1)=5,"Thursday",WEEKDAY(C55,1)=6,"Friday",WEEKDAY(C55,1)=7,"Saturday")</f>
        <v>Thursday</v>
      </c>
      <c r="B55" s="61" t="s">
        <v>391</v>
      </c>
      <c r="C55" s="62">
        <f t="shared" si="4"/>
        <v>44903</v>
      </c>
      <c r="D55" s="62">
        <v>44903</v>
      </c>
      <c r="E55" s="63">
        <v>0.125</v>
      </c>
      <c r="F55" s="60" t="s">
        <v>95</v>
      </c>
      <c r="G55" s="60" t="s">
        <v>150</v>
      </c>
      <c r="H55" s="61">
        <v>0</v>
      </c>
      <c r="I55" s="61">
        <v>0</v>
      </c>
      <c r="J55" s="61">
        <v>24</v>
      </c>
      <c r="K55" s="61">
        <v>24</v>
      </c>
      <c r="L55" s="61"/>
      <c r="M55" s="61" t="str" cm="1">
        <f t="array" ref="M55">_xlfn.IFS(WEEKDAY(N55,1)=1,"Sunday",WEEKDAY(N55,1)=2,"Monday",WEEKDAY(N55,1)=3,"Tuesday",WEEKDAY(N55,1)=4,"Wednesday",WEEKDAY(N55,1)=5,"Thursday",WEEKDAY(N55,1)=6,"Friday",WEEKDAY(N55,1)=7,"Saturday")</f>
        <v>Thursday</v>
      </c>
      <c r="N55" s="62">
        <v>44903</v>
      </c>
      <c r="O55" s="63">
        <v>0.125</v>
      </c>
      <c r="P55" s="60" t="s">
        <v>95</v>
      </c>
      <c r="Q55" s="60" t="s">
        <v>101</v>
      </c>
      <c r="R55" s="60" t="s">
        <v>149</v>
      </c>
      <c r="S55" s="68">
        <v>100</v>
      </c>
      <c r="T55" s="61">
        <v>24</v>
      </c>
      <c r="V55">
        <f t="shared" si="0"/>
        <v>21240</v>
      </c>
      <c r="W55" s="1">
        <f t="shared" si="1"/>
        <v>885</v>
      </c>
      <c r="X55">
        <f t="shared" si="2"/>
        <v>6</v>
      </c>
      <c r="Y55" s="55">
        <f t="shared" si="5"/>
        <v>1</v>
      </c>
    </row>
    <row r="56" spans="1:25" x14ac:dyDescent="0.25">
      <c r="A56" s="61" t="str" cm="1">
        <f t="array" ref="A56">_xlfn.IFS(WEEKDAY(C56,1)=1,"Sunday",WEEKDAY(C56,1)=2,"Monday",WEEKDAY(C56,1)=3,"Tuesday",WEEKDAY(C56,1)=4,"Wednesday",WEEKDAY(C56,1)=5,"Thursday",WEEKDAY(C56,1)=6,"Friday",WEEKDAY(C56,1)=7,"Saturday")</f>
        <v>Thursday</v>
      </c>
      <c r="B56" s="61" t="s">
        <v>391</v>
      </c>
      <c r="C56" s="62">
        <f t="shared" si="4"/>
        <v>44903</v>
      </c>
      <c r="D56" s="62">
        <v>44903</v>
      </c>
      <c r="E56" s="63">
        <v>0.16666666666666666</v>
      </c>
      <c r="F56" s="60" t="s">
        <v>95</v>
      </c>
      <c r="G56" s="60" t="s">
        <v>159</v>
      </c>
      <c r="H56" s="61">
        <v>5</v>
      </c>
      <c r="I56" s="61">
        <v>0</v>
      </c>
      <c r="J56" s="61">
        <v>23</v>
      </c>
      <c r="K56" s="61">
        <v>23</v>
      </c>
      <c r="L56" s="61"/>
      <c r="M56" s="61" t="str" cm="1">
        <f t="array" ref="M56">_xlfn.IFS(WEEKDAY(N56,1)=1,"Sunday",WEEKDAY(N56,1)=2,"Monday",WEEKDAY(N56,1)=3,"Tuesday",WEEKDAY(N56,1)=4,"Wednesday",WEEKDAY(N56,1)=5,"Thursday",WEEKDAY(N56,1)=6,"Friday",WEEKDAY(N56,1)=7,"Saturday")</f>
        <v>Thursday</v>
      </c>
      <c r="N56" s="62">
        <v>44903</v>
      </c>
      <c r="O56" s="63">
        <v>0.16666666666666666</v>
      </c>
      <c r="P56" s="60" t="s">
        <v>95</v>
      </c>
      <c r="Q56" s="60" t="s">
        <v>231</v>
      </c>
      <c r="R56" s="60" t="s">
        <v>126</v>
      </c>
      <c r="S56" s="68">
        <v>78.260869565217391</v>
      </c>
      <c r="T56" s="61">
        <v>23</v>
      </c>
      <c r="V56">
        <f t="shared" si="0"/>
        <v>24840</v>
      </c>
      <c r="W56" s="1">
        <f t="shared" si="1"/>
        <v>1080</v>
      </c>
      <c r="X56">
        <f t="shared" si="2"/>
        <v>21.999999999999996</v>
      </c>
      <c r="Y56" s="55">
        <f t="shared" si="5"/>
        <v>0.78260869565217395</v>
      </c>
    </row>
    <row r="57" spans="1:25" x14ac:dyDescent="0.25">
      <c r="A57" s="61" t="str" cm="1">
        <f t="array" ref="A57">_xlfn.IFS(WEEKDAY(C57,1)=1,"Sunday",WEEKDAY(C57,1)=2,"Monday",WEEKDAY(C57,1)=3,"Tuesday",WEEKDAY(C57,1)=4,"Wednesday",WEEKDAY(C57,1)=5,"Thursday",WEEKDAY(C57,1)=6,"Friday",WEEKDAY(C57,1)=7,"Saturday")</f>
        <v>Friday</v>
      </c>
      <c r="B57" s="61" t="s">
        <v>391</v>
      </c>
      <c r="C57" s="62">
        <f t="shared" si="4"/>
        <v>44904</v>
      </c>
      <c r="D57" s="62">
        <v>44904</v>
      </c>
      <c r="E57" s="63">
        <v>0.33333333333333331</v>
      </c>
      <c r="F57" s="60" t="s">
        <v>94</v>
      </c>
      <c r="G57" s="60" t="s">
        <v>124</v>
      </c>
      <c r="H57" s="61">
        <v>1</v>
      </c>
      <c r="I57" s="61">
        <v>0</v>
      </c>
      <c r="J57" s="61">
        <v>20</v>
      </c>
      <c r="K57" s="61">
        <v>20</v>
      </c>
      <c r="L57" s="61"/>
      <c r="M57" s="61" t="str" cm="1">
        <f t="array" ref="M57">_xlfn.IFS(WEEKDAY(N57,1)=1,"Sunday",WEEKDAY(N57,1)=2,"Monday",WEEKDAY(N57,1)=3,"Tuesday",WEEKDAY(N57,1)=4,"Wednesday",WEEKDAY(N57,1)=5,"Thursday",WEEKDAY(N57,1)=6,"Friday",WEEKDAY(N57,1)=7,"Saturday")</f>
        <v>Friday</v>
      </c>
      <c r="N57" s="62">
        <v>44904</v>
      </c>
      <c r="O57" s="63">
        <v>0.33333333333333331</v>
      </c>
      <c r="P57" s="60" t="s">
        <v>94</v>
      </c>
      <c r="Q57" s="60" t="s">
        <v>301</v>
      </c>
      <c r="R57" s="60" t="s">
        <v>124</v>
      </c>
      <c r="S57" s="68">
        <v>95</v>
      </c>
      <c r="T57" s="61">
        <v>20</v>
      </c>
      <c r="V57">
        <f t="shared" si="0"/>
        <v>20760</v>
      </c>
      <c r="W57" s="1">
        <f t="shared" si="1"/>
        <v>1038</v>
      </c>
      <c r="X57">
        <f t="shared" si="2"/>
        <v>10.999999999999998</v>
      </c>
      <c r="Y57" s="55">
        <f t="shared" si="5"/>
        <v>0.95</v>
      </c>
    </row>
    <row r="58" spans="1:25" x14ac:dyDescent="0.25">
      <c r="A58" s="61" t="str" cm="1">
        <f t="array" ref="A58">_xlfn.IFS(WEEKDAY(C58,1)=1,"Sunday",WEEKDAY(C58,1)=2,"Monday",WEEKDAY(C58,1)=3,"Tuesday",WEEKDAY(C58,1)=4,"Wednesday",WEEKDAY(C58,1)=5,"Thursday",WEEKDAY(C58,1)=6,"Friday",WEEKDAY(C58,1)=7,"Saturday")</f>
        <v>Friday</v>
      </c>
      <c r="B58" s="61" t="s">
        <v>391</v>
      </c>
      <c r="C58" s="62">
        <f t="shared" si="4"/>
        <v>44904</v>
      </c>
      <c r="D58" s="62">
        <v>44904</v>
      </c>
      <c r="E58" s="63">
        <v>0.375</v>
      </c>
      <c r="F58" s="60" t="s">
        <v>94</v>
      </c>
      <c r="G58" s="60" t="s">
        <v>119</v>
      </c>
      <c r="H58" s="61">
        <v>1</v>
      </c>
      <c r="I58" s="61">
        <v>0</v>
      </c>
      <c r="J58" s="61">
        <v>33</v>
      </c>
      <c r="K58" s="61">
        <v>33</v>
      </c>
      <c r="L58" s="61"/>
      <c r="M58" s="61" t="str" cm="1">
        <f t="array" ref="M58">_xlfn.IFS(WEEKDAY(N58,1)=1,"Sunday",WEEKDAY(N58,1)=2,"Monday",WEEKDAY(N58,1)=3,"Tuesday",WEEKDAY(N58,1)=4,"Wednesday",WEEKDAY(N58,1)=5,"Thursday",WEEKDAY(N58,1)=6,"Friday",WEEKDAY(N58,1)=7,"Saturday")</f>
        <v>Friday</v>
      </c>
      <c r="N58" s="62">
        <v>44904</v>
      </c>
      <c r="O58" s="63">
        <v>0.375</v>
      </c>
      <c r="P58" s="60" t="s">
        <v>94</v>
      </c>
      <c r="Q58" s="60" t="s">
        <v>302</v>
      </c>
      <c r="R58" s="60" t="s">
        <v>118</v>
      </c>
      <c r="S58" s="68">
        <v>96.969696969696969</v>
      </c>
      <c r="T58" s="61">
        <v>33</v>
      </c>
      <c r="V58">
        <f t="shared" si="0"/>
        <v>21813</v>
      </c>
      <c r="W58" s="1">
        <f t="shared" si="1"/>
        <v>661</v>
      </c>
      <c r="X58">
        <f t="shared" si="2"/>
        <v>8</v>
      </c>
      <c r="Y58" s="55">
        <f t="shared" si="5"/>
        <v>0.96969696969696972</v>
      </c>
    </row>
    <row r="59" spans="1:25" x14ac:dyDescent="0.25">
      <c r="A59" s="61" t="str" cm="1">
        <f t="array" ref="A59">_xlfn.IFS(WEEKDAY(C59,1)=1,"Sunday",WEEKDAY(C59,1)=2,"Monday",WEEKDAY(C59,1)=3,"Tuesday",WEEKDAY(C59,1)=4,"Wednesday",WEEKDAY(C59,1)=5,"Thursday",WEEKDAY(C59,1)=6,"Friday",WEEKDAY(C59,1)=7,"Saturday")</f>
        <v>Friday</v>
      </c>
      <c r="B59" s="61" t="s">
        <v>391</v>
      </c>
      <c r="C59" s="62">
        <f t="shared" si="4"/>
        <v>44904</v>
      </c>
      <c r="D59" s="62">
        <v>44904</v>
      </c>
      <c r="E59" s="63">
        <v>0.41666666666666669</v>
      </c>
      <c r="F59" s="60" t="s">
        <v>94</v>
      </c>
      <c r="G59" s="60" t="s">
        <v>125</v>
      </c>
      <c r="H59" s="61">
        <v>4</v>
      </c>
      <c r="I59" s="61">
        <v>0</v>
      </c>
      <c r="J59" s="61">
        <v>32</v>
      </c>
      <c r="K59" s="61">
        <v>33</v>
      </c>
      <c r="L59" s="61"/>
      <c r="M59" s="61" t="str" cm="1">
        <f t="array" ref="M59">_xlfn.IFS(WEEKDAY(N59,1)=1,"Sunday",WEEKDAY(N59,1)=2,"Monday",WEEKDAY(N59,1)=3,"Tuesday",WEEKDAY(N59,1)=4,"Wednesday",WEEKDAY(N59,1)=5,"Thursday",WEEKDAY(N59,1)=6,"Friday",WEEKDAY(N59,1)=7,"Saturday")</f>
        <v>Friday</v>
      </c>
      <c r="N59" s="62">
        <v>44904</v>
      </c>
      <c r="O59" s="63">
        <v>0.41666666666666669</v>
      </c>
      <c r="P59" s="60" t="s">
        <v>94</v>
      </c>
      <c r="Q59" s="60" t="s">
        <v>273</v>
      </c>
      <c r="R59" s="60" t="s">
        <v>124</v>
      </c>
      <c r="S59" s="68">
        <v>90.625</v>
      </c>
      <c r="T59" s="61">
        <v>32</v>
      </c>
      <c r="V59">
        <f t="shared" si="0"/>
        <v>25113</v>
      </c>
      <c r="W59" s="1">
        <f t="shared" si="1"/>
        <v>761</v>
      </c>
      <c r="X59">
        <f t="shared" si="2"/>
        <v>10.999999999999998</v>
      </c>
      <c r="Y59" s="55">
        <f t="shared" si="5"/>
        <v>0.90625</v>
      </c>
    </row>
    <row r="60" spans="1:25" x14ac:dyDescent="0.25">
      <c r="A60" s="61" t="str" cm="1">
        <f t="array" ref="A60">_xlfn.IFS(WEEKDAY(C60,1)=1,"Sunday",WEEKDAY(C60,1)=2,"Monday",WEEKDAY(C60,1)=3,"Tuesday",WEEKDAY(C60,1)=4,"Wednesday",WEEKDAY(C60,1)=5,"Thursday",WEEKDAY(C60,1)=6,"Friday",WEEKDAY(C60,1)=7,"Saturday")</f>
        <v>Friday</v>
      </c>
      <c r="B60" s="61" t="s">
        <v>391</v>
      </c>
      <c r="C60" s="62">
        <f t="shared" si="4"/>
        <v>44904</v>
      </c>
      <c r="D60" s="62">
        <v>44904</v>
      </c>
      <c r="E60" s="63">
        <v>0.45833333333333331</v>
      </c>
      <c r="F60" s="60" t="s">
        <v>94</v>
      </c>
      <c r="G60" s="60" t="s">
        <v>92</v>
      </c>
      <c r="H60" s="61">
        <v>7</v>
      </c>
      <c r="I60" s="61">
        <v>0</v>
      </c>
      <c r="J60" s="61">
        <v>36</v>
      </c>
      <c r="K60" s="61">
        <v>36</v>
      </c>
      <c r="L60" s="61"/>
      <c r="M60" s="61" t="str" cm="1">
        <f t="array" ref="M60">_xlfn.IFS(WEEKDAY(N60,1)=1,"Sunday",WEEKDAY(N60,1)=2,"Monday",WEEKDAY(N60,1)=3,"Tuesday",WEEKDAY(N60,1)=4,"Wednesday",WEEKDAY(N60,1)=5,"Thursday",WEEKDAY(N60,1)=6,"Friday",WEEKDAY(N60,1)=7,"Saturday")</f>
        <v>Friday</v>
      </c>
      <c r="N60" s="62">
        <v>44904</v>
      </c>
      <c r="O60" s="63">
        <v>0.45833333333333331</v>
      </c>
      <c r="P60" s="60" t="s">
        <v>94</v>
      </c>
      <c r="Q60" s="60" t="s">
        <v>135</v>
      </c>
      <c r="R60" s="60" t="s">
        <v>138</v>
      </c>
      <c r="S60" s="68">
        <v>86.111111111111114</v>
      </c>
      <c r="T60" s="61">
        <v>36</v>
      </c>
      <c r="V60">
        <f t="shared" si="0"/>
        <v>36396.000000000007</v>
      </c>
      <c r="W60" s="1">
        <f t="shared" si="1"/>
        <v>1011.0000000000002</v>
      </c>
      <c r="X60">
        <f t="shared" si="2"/>
        <v>14</v>
      </c>
      <c r="Y60" s="55">
        <f t="shared" si="5"/>
        <v>0.86111111111111116</v>
      </c>
    </row>
    <row r="61" spans="1:25" x14ac:dyDescent="0.25">
      <c r="A61" s="61" t="str" cm="1">
        <f t="array" ref="A61">_xlfn.IFS(WEEKDAY(C61,1)=1,"Sunday",WEEKDAY(C61,1)=2,"Monday",WEEKDAY(C61,1)=3,"Tuesday",WEEKDAY(C61,1)=4,"Wednesday",WEEKDAY(C61,1)=5,"Thursday",WEEKDAY(C61,1)=6,"Friday",WEEKDAY(C61,1)=7,"Saturday")</f>
        <v>Friday</v>
      </c>
      <c r="B61" s="61" t="s">
        <v>391</v>
      </c>
      <c r="C61" s="62">
        <f t="shared" si="4"/>
        <v>44904</v>
      </c>
      <c r="D61" s="62">
        <v>44904</v>
      </c>
      <c r="E61" s="63">
        <v>0.5</v>
      </c>
      <c r="F61" s="60" t="s">
        <v>95</v>
      </c>
      <c r="G61" s="60" t="s">
        <v>198</v>
      </c>
      <c r="H61" s="61">
        <v>1</v>
      </c>
      <c r="I61" s="61">
        <v>0</v>
      </c>
      <c r="J61" s="61">
        <v>36</v>
      </c>
      <c r="K61" s="61">
        <v>36</v>
      </c>
      <c r="L61" s="61"/>
      <c r="M61" s="61" t="str" cm="1">
        <f t="array" ref="M61">_xlfn.IFS(WEEKDAY(N61,1)=1,"Sunday",WEEKDAY(N61,1)=2,"Monday",WEEKDAY(N61,1)=3,"Tuesday",WEEKDAY(N61,1)=4,"Wednesday",WEEKDAY(N61,1)=5,"Thursday",WEEKDAY(N61,1)=6,"Friday",WEEKDAY(N61,1)=7,"Saturday")</f>
        <v>Friday</v>
      </c>
      <c r="N61" s="62">
        <v>44904</v>
      </c>
      <c r="O61" s="63">
        <v>0.5</v>
      </c>
      <c r="P61" s="60" t="s">
        <v>95</v>
      </c>
      <c r="Q61" s="60" t="s">
        <v>141</v>
      </c>
      <c r="R61" s="60" t="s">
        <v>180</v>
      </c>
      <c r="S61" s="68">
        <v>88.888888888888886</v>
      </c>
      <c r="T61" s="61">
        <v>36</v>
      </c>
      <c r="V61">
        <f t="shared" si="0"/>
        <v>31248</v>
      </c>
      <c r="W61" s="1">
        <f t="shared" si="1"/>
        <v>868</v>
      </c>
      <c r="X61">
        <f t="shared" si="2"/>
        <v>32</v>
      </c>
      <c r="Y61" s="55">
        <f t="shared" si="5"/>
        <v>0.88888888888888884</v>
      </c>
    </row>
    <row r="62" spans="1:25" x14ac:dyDescent="0.25">
      <c r="A62" s="61" t="str" cm="1">
        <f t="array" ref="A62">_xlfn.IFS(WEEKDAY(C62,1)=1,"Sunday",WEEKDAY(C62,1)=2,"Monday",WEEKDAY(C62,1)=3,"Tuesday",WEEKDAY(C62,1)=4,"Wednesday",WEEKDAY(C62,1)=5,"Thursday",WEEKDAY(C62,1)=6,"Friday",WEEKDAY(C62,1)=7,"Saturday")</f>
        <v>Friday</v>
      </c>
      <c r="B62" s="61" t="s">
        <v>391</v>
      </c>
      <c r="C62" s="62">
        <f t="shared" si="4"/>
        <v>44904</v>
      </c>
      <c r="D62" s="62">
        <v>44904</v>
      </c>
      <c r="E62" s="63">
        <v>4.1666666666666664E-2</v>
      </c>
      <c r="F62" s="60" t="s">
        <v>95</v>
      </c>
      <c r="G62" s="60" t="s">
        <v>159</v>
      </c>
      <c r="H62" s="61">
        <v>5</v>
      </c>
      <c r="I62" s="61">
        <v>0</v>
      </c>
      <c r="J62" s="61">
        <v>37</v>
      </c>
      <c r="K62" s="61">
        <v>37</v>
      </c>
      <c r="L62" s="61"/>
      <c r="M62" s="61" t="str" cm="1">
        <f t="array" ref="M62">_xlfn.IFS(WEEKDAY(N62,1)=1,"Sunday",WEEKDAY(N62,1)=2,"Monday",WEEKDAY(N62,1)=3,"Tuesday",WEEKDAY(N62,1)=4,"Wednesday",WEEKDAY(N62,1)=5,"Thursday",WEEKDAY(N62,1)=6,"Friday",WEEKDAY(N62,1)=7,"Saturday")</f>
        <v>Friday</v>
      </c>
      <c r="N62" s="62">
        <v>44904</v>
      </c>
      <c r="O62" s="63">
        <v>4.1666666666666664E-2</v>
      </c>
      <c r="P62" s="60" t="s">
        <v>95</v>
      </c>
      <c r="Q62" s="60" t="s">
        <v>274</v>
      </c>
      <c r="R62" s="60" t="s">
        <v>126</v>
      </c>
      <c r="S62" s="68">
        <v>83.78378378378379</v>
      </c>
      <c r="T62" s="61">
        <v>37</v>
      </c>
      <c r="V62">
        <f t="shared" si="0"/>
        <v>28416</v>
      </c>
      <c r="W62" s="1">
        <f t="shared" si="1"/>
        <v>768</v>
      </c>
      <c r="X62">
        <f t="shared" si="2"/>
        <v>21.999999999999996</v>
      </c>
      <c r="Y62" s="55">
        <f t="shared" si="5"/>
        <v>0.83783783783783794</v>
      </c>
    </row>
    <row r="63" spans="1:25" x14ac:dyDescent="0.25">
      <c r="A63" s="61" t="str" cm="1">
        <f t="array" ref="A63">_xlfn.IFS(WEEKDAY(C63,1)=1,"Sunday",WEEKDAY(C63,1)=2,"Monday",WEEKDAY(C63,1)=3,"Tuesday",WEEKDAY(C63,1)=4,"Wednesday",WEEKDAY(C63,1)=5,"Thursday",WEEKDAY(C63,1)=6,"Friday",WEEKDAY(C63,1)=7,"Saturday")</f>
        <v>Friday</v>
      </c>
      <c r="B63" s="61" t="s">
        <v>391</v>
      </c>
      <c r="C63" s="62">
        <f t="shared" si="4"/>
        <v>44904</v>
      </c>
      <c r="D63" s="62">
        <v>44904</v>
      </c>
      <c r="E63" s="63">
        <v>8.3333333333333329E-2</v>
      </c>
      <c r="F63" s="60" t="s">
        <v>95</v>
      </c>
      <c r="G63" s="60" t="s">
        <v>106</v>
      </c>
      <c r="H63" s="61">
        <v>3</v>
      </c>
      <c r="I63" s="61">
        <v>0</v>
      </c>
      <c r="J63" s="61">
        <v>25</v>
      </c>
      <c r="K63" s="61">
        <v>25</v>
      </c>
      <c r="L63" s="61"/>
      <c r="M63" s="61" t="str" cm="1">
        <f t="array" ref="M63">_xlfn.IFS(WEEKDAY(N63,1)=1,"Sunday",WEEKDAY(N63,1)=2,"Monday",WEEKDAY(N63,1)=3,"Tuesday",WEEKDAY(N63,1)=4,"Wednesday",WEEKDAY(N63,1)=5,"Thursday",WEEKDAY(N63,1)=6,"Friday",WEEKDAY(N63,1)=7,"Saturday")</f>
        <v>Friday</v>
      </c>
      <c r="N63" s="62">
        <v>44904</v>
      </c>
      <c r="O63" s="63">
        <v>8.3333333333333329E-2</v>
      </c>
      <c r="P63" s="60" t="s">
        <v>95</v>
      </c>
      <c r="Q63" s="60" t="s">
        <v>236</v>
      </c>
      <c r="R63" s="60" t="s">
        <v>124</v>
      </c>
      <c r="S63" s="68">
        <v>92</v>
      </c>
      <c r="T63" s="61">
        <v>25</v>
      </c>
      <c r="V63">
        <f t="shared" si="0"/>
        <v>28900</v>
      </c>
      <c r="W63" s="1">
        <f t="shared" si="1"/>
        <v>1156</v>
      </c>
      <c r="X63">
        <f t="shared" si="2"/>
        <v>10.999999999999998</v>
      </c>
      <c r="Y63" s="55">
        <f t="shared" si="5"/>
        <v>0.92</v>
      </c>
    </row>
    <row r="64" spans="1:25" x14ac:dyDescent="0.25">
      <c r="A64" s="61" t="str" cm="1">
        <f t="array" ref="A64">_xlfn.IFS(WEEKDAY(C64,1)=1,"Sunday",WEEKDAY(C64,1)=2,"Monday",WEEKDAY(C64,1)=3,"Tuesday",WEEKDAY(C64,1)=4,"Wednesday",WEEKDAY(C64,1)=5,"Thursday",WEEKDAY(C64,1)=6,"Friday",WEEKDAY(C64,1)=7,"Saturday")</f>
        <v>Friday</v>
      </c>
      <c r="B64" s="61" t="s">
        <v>391</v>
      </c>
      <c r="C64" s="62">
        <f t="shared" si="4"/>
        <v>44904</v>
      </c>
      <c r="D64" s="62">
        <v>44904</v>
      </c>
      <c r="E64" s="63">
        <v>0.125</v>
      </c>
      <c r="F64" s="60" t="s">
        <v>95</v>
      </c>
      <c r="G64" s="60" t="s">
        <v>113</v>
      </c>
      <c r="H64" s="61">
        <v>3</v>
      </c>
      <c r="I64" s="61">
        <v>0</v>
      </c>
      <c r="J64" s="61">
        <v>29</v>
      </c>
      <c r="K64" s="61">
        <v>29</v>
      </c>
      <c r="L64" s="61"/>
      <c r="M64" s="61" t="str" cm="1">
        <f t="array" ref="M64">_xlfn.IFS(WEEKDAY(N64,1)=1,"Sunday",WEEKDAY(N64,1)=2,"Monday",WEEKDAY(N64,1)=3,"Tuesday",WEEKDAY(N64,1)=4,"Wednesday",WEEKDAY(N64,1)=5,"Thursday",WEEKDAY(N64,1)=6,"Friday",WEEKDAY(N64,1)=7,"Saturday")</f>
        <v>Friday</v>
      </c>
      <c r="N64" s="62">
        <v>44904</v>
      </c>
      <c r="O64" s="63">
        <v>0.125</v>
      </c>
      <c r="P64" s="60" t="s">
        <v>95</v>
      </c>
      <c r="Q64" s="60" t="s">
        <v>216</v>
      </c>
      <c r="R64" s="60" t="s">
        <v>119</v>
      </c>
      <c r="S64" s="68">
        <v>93.103448275862064</v>
      </c>
      <c r="T64" s="61">
        <v>29</v>
      </c>
      <c r="V64">
        <f t="shared" si="0"/>
        <v>26911.999999999996</v>
      </c>
      <c r="W64" s="1">
        <f t="shared" si="1"/>
        <v>927.99999999999989</v>
      </c>
      <c r="X64">
        <f t="shared" si="2"/>
        <v>9</v>
      </c>
      <c r="Y64" s="55">
        <f t="shared" si="5"/>
        <v>0.93103448275862066</v>
      </c>
    </row>
    <row r="65" spans="1:25" x14ac:dyDescent="0.25">
      <c r="A65" s="61" t="str" cm="1">
        <f t="array" ref="A65">_xlfn.IFS(WEEKDAY(C65,1)=1,"Sunday",WEEKDAY(C65,1)=2,"Monday",WEEKDAY(C65,1)=3,"Tuesday",WEEKDAY(C65,1)=4,"Wednesday",WEEKDAY(C65,1)=5,"Thursday",WEEKDAY(C65,1)=6,"Friday",WEEKDAY(C65,1)=7,"Saturday")</f>
        <v>Friday</v>
      </c>
      <c r="B65" s="61" t="s">
        <v>391</v>
      </c>
      <c r="C65" s="62">
        <f t="shared" si="4"/>
        <v>44904</v>
      </c>
      <c r="D65" s="62">
        <v>44904</v>
      </c>
      <c r="E65" s="63">
        <v>0.16666666666666666</v>
      </c>
      <c r="F65" s="60" t="s">
        <v>95</v>
      </c>
      <c r="G65" s="60" t="s">
        <v>119</v>
      </c>
      <c r="H65" s="61">
        <v>2</v>
      </c>
      <c r="I65" s="61">
        <v>0</v>
      </c>
      <c r="J65" s="61">
        <v>23</v>
      </c>
      <c r="K65" s="61">
        <v>23</v>
      </c>
      <c r="L65" s="61"/>
      <c r="M65" s="61" t="str" cm="1">
        <f t="array" ref="M65">_xlfn.IFS(WEEKDAY(N65,1)=1,"Sunday",WEEKDAY(N65,1)=2,"Monday",WEEKDAY(N65,1)=3,"Tuesday",WEEKDAY(N65,1)=4,"Wednesday",WEEKDAY(N65,1)=5,"Thursday",WEEKDAY(N65,1)=6,"Friday",WEEKDAY(N65,1)=7,"Saturday")</f>
        <v>Friday</v>
      </c>
      <c r="N65" s="62">
        <v>44904</v>
      </c>
      <c r="O65" s="63">
        <v>0.16666666666666666</v>
      </c>
      <c r="P65" s="60" t="s">
        <v>95</v>
      </c>
      <c r="Q65" s="60" t="s">
        <v>200</v>
      </c>
      <c r="R65" s="60" t="s">
        <v>118</v>
      </c>
      <c r="S65" s="68">
        <v>100</v>
      </c>
      <c r="T65" s="61">
        <v>23</v>
      </c>
      <c r="V65">
        <f t="shared" si="0"/>
        <v>19435</v>
      </c>
      <c r="W65" s="1">
        <f t="shared" si="1"/>
        <v>845</v>
      </c>
      <c r="X65">
        <f t="shared" si="2"/>
        <v>8</v>
      </c>
      <c r="Y65" s="55">
        <f t="shared" si="5"/>
        <v>1</v>
      </c>
    </row>
    <row r="66" spans="1:25" x14ac:dyDescent="0.25">
      <c r="A66" s="61" t="str" cm="1">
        <f t="array" ref="A66">_xlfn.IFS(WEEKDAY(C66,1)=1,"Sunday",WEEKDAY(C66,1)=2,"Monday",WEEKDAY(C66,1)=3,"Tuesday",WEEKDAY(C66,1)=4,"Wednesday",WEEKDAY(C66,1)=5,"Thursday",WEEKDAY(C66,1)=6,"Friday",WEEKDAY(C66,1)=7,"Saturday")</f>
        <v>Monday</v>
      </c>
      <c r="B66" s="61" t="s">
        <v>391</v>
      </c>
      <c r="C66" s="62">
        <f t="shared" si="4"/>
        <v>44907</v>
      </c>
      <c r="D66" s="62">
        <v>44907</v>
      </c>
      <c r="E66" s="63">
        <v>0.33333333333333331</v>
      </c>
      <c r="F66" s="60" t="s">
        <v>94</v>
      </c>
      <c r="G66" s="60" t="s">
        <v>106</v>
      </c>
      <c r="H66" s="61">
        <v>2</v>
      </c>
      <c r="I66" s="61">
        <v>0</v>
      </c>
      <c r="J66" s="61">
        <v>16</v>
      </c>
      <c r="K66" s="61">
        <v>16</v>
      </c>
      <c r="L66" s="61"/>
      <c r="M66" s="61" t="str" cm="1">
        <f t="array" ref="M66">_xlfn.IFS(WEEKDAY(N66,1)=1,"Sunday",WEEKDAY(N66,1)=2,"Monday",WEEKDAY(N66,1)=3,"Tuesday",WEEKDAY(N66,1)=4,"Wednesday",WEEKDAY(N66,1)=5,"Thursday",WEEKDAY(N66,1)=6,"Friday",WEEKDAY(N66,1)=7,"Saturday")</f>
        <v>Monday</v>
      </c>
      <c r="N66" s="62">
        <v>44907</v>
      </c>
      <c r="O66" s="63">
        <v>0.33333333333333331</v>
      </c>
      <c r="P66" s="60" t="s">
        <v>94</v>
      </c>
      <c r="Q66" s="60" t="s">
        <v>97</v>
      </c>
      <c r="R66" s="60" t="s">
        <v>124</v>
      </c>
      <c r="S66" s="68">
        <v>93.75</v>
      </c>
      <c r="T66" s="61">
        <v>16</v>
      </c>
      <c r="V66">
        <f t="shared" ref="V66:V129" si="6">W66*K66</f>
        <v>13728</v>
      </c>
      <c r="W66" s="1">
        <f t="shared" ref="W66:W129" si="7">CONVERT(Q66,"day","sec")</f>
        <v>858</v>
      </c>
      <c r="X66">
        <f t="shared" ref="X66:X129" si="8">CONVERT(R66,"day","sec")</f>
        <v>10.999999999999998</v>
      </c>
      <c r="Y66" s="55">
        <f t="shared" ref="Y66:Y97" si="9">S66/100</f>
        <v>0.9375</v>
      </c>
    </row>
    <row r="67" spans="1:25" x14ac:dyDescent="0.25">
      <c r="A67" s="61" t="str" cm="1">
        <f t="array" ref="A67">_xlfn.IFS(WEEKDAY(C67,1)=1,"Sunday",WEEKDAY(C67,1)=2,"Monday",WEEKDAY(C67,1)=3,"Tuesday",WEEKDAY(C67,1)=4,"Wednesday",WEEKDAY(C67,1)=5,"Thursday",WEEKDAY(C67,1)=6,"Friday",WEEKDAY(C67,1)=7,"Saturday")</f>
        <v>Monday</v>
      </c>
      <c r="B67" s="61" t="s">
        <v>391</v>
      </c>
      <c r="C67" s="62">
        <f t="shared" ref="C67:C130" si="10">D67</f>
        <v>44907</v>
      </c>
      <c r="D67" s="62">
        <v>44907</v>
      </c>
      <c r="E67" s="63">
        <v>0.375</v>
      </c>
      <c r="F67" s="60" t="s">
        <v>94</v>
      </c>
      <c r="G67" s="60" t="s">
        <v>92</v>
      </c>
      <c r="H67" s="61">
        <v>4</v>
      </c>
      <c r="I67" s="61">
        <v>0</v>
      </c>
      <c r="J67" s="61">
        <v>34</v>
      </c>
      <c r="K67" s="61">
        <v>34</v>
      </c>
      <c r="L67" s="61"/>
      <c r="M67" s="61" t="str" cm="1">
        <f t="array" ref="M67">_xlfn.IFS(WEEKDAY(N67,1)=1,"Sunday",WEEKDAY(N67,1)=2,"Monday",WEEKDAY(N67,1)=3,"Tuesday",WEEKDAY(N67,1)=4,"Wednesday",WEEKDAY(N67,1)=5,"Thursday",WEEKDAY(N67,1)=6,"Friday",WEEKDAY(N67,1)=7,"Saturday")</f>
        <v>Monday</v>
      </c>
      <c r="N67" s="62">
        <v>44907</v>
      </c>
      <c r="O67" s="63">
        <v>0.375</v>
      </c>
      <c r="P67" s="60" t="s">
        <v>94</v>
      </c>
      <c r="Q67" s="60" t="s">
        <v>237</v>
      </c>
      <c r="R67" s="60" t="s">
        <v>138</v>
      </c>
      <c r="S67" s="68">
        <v>88.235294117647058</v>
      </c>
      <c r="T67" s="61">
        <v>34</v>
      </c>
      <c r="V67">
        <f t="shared" si="6"/>
        <v>32198</v>
      </c>
      <c r="W67" s="1">
        <f t="shared" si="7"/>
        <v>947</v>
      </c>
      <c r="X67">
        <f t="shared" si="8"/>
        <v>14</v>
      </c>
      <c r="Y67" s="55">
        <f t="shared" si="9"/>
        <v>0.88235294117647056</v>
      </c>
    </row>
    <row r="68" spans="1:25" x14ac:dyDescent="0.25">
      <c r="A68" s="61" t="str" cm="1">
        <f t="array" ref="A68">_xlfn.IFS(WEEKDAY(C68,1)=1,"Sunday",WEEKDAY(C68,1)=2,"Monday",WEEKDAY(C68,1)=3,"Tuesday",WEEKDAY(C68,1)=4,"Wednesday",WEEKDAY(C68,1)=5,"Thursday",WEEKDAY(C68,1)=6,"Friday",WEEKDAY(C68,1)=7,"Saturday")</f>
        <v>Monday</v>
      </c>
      <c r="B68" s="61" t="s">
        <v>391</v>
      </c>
      <c r="C68" s="62">
        <f t="shared" si="10"/>
        <v>44907</v>
      </c>
      <c r="D68" s="62">
        <v>44907</v>
      </c>
      <c r="E68" s="63">
        <v>0.41666666666666669</v>
      </c>
      <c r="F68" s="60" t="s">
        <v>94</v>
      </c>
      <c r="G68" s="60" t="s">
        <v>164</v>
      </c>
      <c r="H68" s="61">
        <v>4</v>
      </c>
      <c r="I68" s="61">
        <v>0</v>
      </c>
      <c r="J68" s="61">
        <v>37</v>
      </c>
      <c r="K68" s="61">
        <v>37</v>
      </c>
      <c r="L68" s="61"/>
      <c r="M68" s="61" t="str" cm="1">
        <f t="array" ref="M68">_xlfn.IFS(WEEKDAY(N68,1)=1,"Sunday",WEEKDAY(N68,1)=2,"Monday",WEEKDAY(N68,1)=3,"Tuesday",WEEKDAY(N68,1)=4,"Wednesday",WEEKDAY(N68,1)=5,"Thursday",WEEKDAY(N68,1)=6,"Friday",WEEKDAY(N68,1)=7,"Saturday")</f>
        <v>Monday</v>
      </c>
      <c r="N68" s="62">
        <v>44907</v>
      </c>
      <c r="O68" s="63">
        <v>0.41666666666666669</v>
      </c>
      <c r="P68" s="60" t="s">
        <v>94</v>
      </c>
      <c r="Q68" s="60" t="s">
        <v>142</v>
      </c>
      <c r="R68" s="60" t="s">
        <v>92</v>
      </c>
      <c r="S68" s="68">
        <v>89.189189189189193</v>
      </c>
      <c r="T68" s="61">
        <v>37</v>
      </c>
      <c r="V68">
        <f t="shared" si="6"/>
        <v>30599</v>
      </c>
      <c r="W68" s="1">
        <f t="shared" si="7"/>
        <v>827</v>
      </c>
      <c r="X68">
        <f t="shared" si="8"/>
        <v>15</v>
      </c>
      <c r="Y68" s="55">
        <f t="shared" si="9"/>
        <v>0.89189189189189189</v>
      </c>
    </row>
    <row r="69" spans="1:25" x14ac:dyDescent="0.25">
      <c r="A69" s="61" t="str" cm="1">
        <f t="array" ref="A69">_xlfn.IFS(WEEKDAY(C69,1)=1,"Sunday",WEEKDAY(C69,1)=2,"Monday",WEEKDAY(C69,1)=3,"Tuesday",WEEKDAY(C69,1)=4,"Wednesday",WEEKDAY(C69,1)=5,"Thursday",WEEKDAY(C69,1)=6,"Friday",WEEKDAY(C69,1)=7,"Saturday")</f>
        <v>Monday</v>
      </c>
      <c r="B69" s="61" t="s">
        <v>391</v>
      </c>
      <c r="C69" s="62">
        <f t="shared" si="10"/>
        <v>44907</v>
      </c>
      <c r="D69" s="62">
        <v>44907</v>
      </c>
      <c r="E69" s="63">
        <v>0.45833333333333331</v>
      </c>
      <c r="F69" s="60" t="s">
        <v>94</v>
      </c>
      <c r="G69" s="60" t="s">
        <v>204</v>
      </c>
      <c r="H69" s="61">
        <v>14</v>
      </c>
      <c r="I69" s="61">
        <v>1</v>
      </c>
      <c r="J69" s="61">
        <v>31</v>
      </c>
      <c r="K69" s="61">
        <v>32</v>
      </c>
      <c r="L69" s="61"/>
      <c r="M69" s="61" t="str" cm="1">
        <f t="array" ref="M69">_xlfn.IFS(WEEKDAY(N69,1)=1,"Sunday",WEEKDAY(N69,1)=2,"Monday",WEEKDAY(N69,1)=3,"Tuesday",WEEKDAY(N69,1)=4,"Wednesday",WEEKDAY(N69,1)=5,"Thursday",WEEKDAY(N69,1)=6,"Friday",WEEKDAY(N69,1)=7,"Saturday")</f>
        <v>Monday</v>
      </c>
      <c r="N69" s="62">
        <v>44907</v>
      </c>
      <c r="O69" s="63">
        <v>0.45833333333333331</v>
      </c>
      <c r="P69" s="60" t="s">
        <v>94</v>
      </c>
      <c r="Q69" s="60" t="s">
        <v>224</v>
      </c>
      <c r="R69" s="60" t="s">
        <v>187</v>
      </c>
      <c r="S69" s="68">
        <v>54.838709677419352</v>
      </c>
      <c r="T69" s="61">
        <v>31</v>
      </c>
      <c r="V69">
        <f t="shared" si="6"/>
        <v>26175.999999999996</v>
      </c>
      <c r="W69" s="1">
        <f t="shared" si="7"/>
        <v>817.99999999999989</v>
      </c>
      <c r="X69">
        <f t="shared" si="8"/>
        <v>37</v>
      </c>
      <c r="Y69" s="55">
        <f t="shared" si="9"/>
        <v>0.54838709677419351</v>
      </c>
    </row>
    <row r="70" spans="1:25" x14ac:dyDescent="0.25">
      <c r="A70" s="61" t="str" cm="1">
        <f t="array" ref="A70">_xlfn.IFS(WEEKDAY(C70,1)=1,"Sunday",WEEKDAY(C70,1)=2,"Monday",WEEKDAY(C70,1)=3,"Tuesday",WEEKDAY(C70,1)=4,"Wednesday",WEEKDAY(C70,1)=5,"Thursday",WEEKDAY(C70,1)=6,"Friday",WEEKDAY(C70,1)=7,"Saturday")</f>
        <v>Monday</v>
      </c>
      <c r="B70" s="61" t="s">
        <v>391</v>
      </c>
      <c r="C70" s="62">
        <f t="shared" si="10"/>
        <v>44907</v>
      </c>
      <c r="D70" s="62">
        <v>44907</v>
      </c>
      <c r="E70" s="63">
        <v>0.5</v>
      </c>
      <c r="F70" s="60" t="s">
        <v>95</v>
      </c>
      <c r="G70" s="60" t="s">
        <v>359</v>
      </c>
      <c r="H70" s="61">
        <v>10</v>
      </c>
      <c r="I70" s="61">
        <v>0</v>
      </c>
      <c r="J70" s="61">
        <v>38</v>
      </c>
      <c r="K70" s="61">
        <v>38</v>
      </c>
      <c r="L70" s="61"/>
      <c r="M70" s="61" t="str" cm="1">
        <f t="array" ref="M70">_xlfn.IFS(WEEKDAY(N70,1)=1,"Sunday",WEEKDAY(N70,1)=2,"Monday",WEEKDAY(N70,1)=3,"Tuesday",WEEKDAY(N70,1)=4,"Wednesday",WEEKDAY(N70,1)=5,"Thursday",WEEKDAY(N70,1)=6,"Friday",WEEKDAY(N70,1)=7,"Saturday")</f>
        <v>Monday</v>
      </c>
      <c r="N70" s="62">
        <v>44907</v>
      </c>
      <c r="O70" s="63">
        <v>0.5</v>
      </c>
      <c r="P70" s="60" t="s">
        <v>95</v>
      </c>
      <c r="Q70" s="60" t="s">
        <v>272</v>
      </c>
      <c r="R70" s="60" t="s">
        <v>303</v>
      </c>
      <c r="S70" s="68">
        <v>55.26315789473685</v>
      </c>
      <c r="T70" s="61">
        <v>38</v>
      </c>
      <c r="V70">
        <f t="shared" si="6"/>
        <v>36290</v>
      </c>
      <c r="W70" s="1">
        <f t="shared" si="7"/>
        <v>955</v>
      </c>
      <c r="X70">
        <f t="shared" si="8"/>
        <v>126</v>
      </c>
      <c r="Y70" s="55">
        <f t="shared" si="9"/>
        <v>0.55263157894736847</v>
      </c>
    </row>
    <row r="71" spans="1:25" x14ac:dyDescent="0.25">
      <c r="A71" s="61" t="str" cm="1">
        <f t="array" ref="A71">_xlfn.IFS(WEEKDAY(C71,1)=1,"Sunday",WEEKDAY(C71,1)=2,"Monday",WEEKDAY(C71,1)=3,"Tuesday",WEEKDAY(C71,1)=4,"Wednesday",WEEKDAY(C71,1)=5,"Thursday",WEEKDAY(C71,1)=6,"Friday",WEEKDAY(C71,1)=7,"Saturday")</f>
        <v>Monday</v>
      </c>
      <c r="B71" s="61" t="s">
        <v>391</v>
      </c>
      <c r="C71" s="62">
        <f t="shared" si="10"/>
        <v>44907</v>
      </c>
      <c r="D71" s="62">
        <v>44907</v>
      </c>
      <c r="E71" s="63">
        <v>4.1666666666666664E-2</v>
      </c>
      <c r="F71" s="60" t="s">
        <v>95</v>
      </c>
      <c r="G71" t="s">
        <v>360</v>
      </c>
      <c r="H71" s="61">
        <v>7</v>
      </c>
      <c r="I71" s="61">
        <v>2</v>
      </c>
      <c r="J71" s="61">
        <v>43</v>
      </c>
      <c r="K71" s="61">
        <v>45</v>
      </c>
      <c r="L71" s="61"/>
      <c r="M71" s="61" t="str" cm="1">
        <f t="array" ref="M71">_xlfn.IFS(WEEKDAY(N71,1)=1,"Sunday",WEEKDAY(N71,1)=2,"Monday",WEEKDAY(N71,1)=3,"Tuesday",WEEKDAY(N71,1)=4,"Wednesday",WEEKDAY(N71,1)=5,"Thursday",WEEKDAY(N71,1)=6,"Friday",WEEKDAY(N71,1)=7,"Saturday")</f>
        <v>Monday</v>
      </c>
      <c r="N71" s="62">
        <v>44907</v>
      </c>
      <c r="O71" s="63">
        <v>4.1666666666666664E-2</v>
      </c>
      <c r="P71" s="60" t="s">
        <v>95</v>
      </c>
      <c r="Q71" s="60" t="s">
        <v>212</v>
      </c>
      <c r="R71" s="60" t="s">
        <v>304</v>
      </c>
      <c r="S71" s="68">
        <v>16.279069767441861</v>
      </c>
      <c r="T71" s="61">
        <v>43</v>
      </c>
      <c r="V71">
        <f t="shared" si="6"/>
        <v>34019.999999999993</v>
      </c>
      <c r="W71" s="1">
        <f t="shared" si="7"/>
        <v>755.99999999999989</v>
      </c>
      <c r="X71">
        <f t="shared" si="8"/>
        <v>468</v>
      </c>
      <c r="Y71" s="55">
        <f t="shared" si="9"/>
        <v>0.16279069767441862</v>
      </c>
    </row>
    <row r="72" spans="1:25" x14ac:dyDescent="0.25">
      <c r="A72" s="61" t="str" cm="1">
        <f t="array" ref="A72">_xlfn.IFS(WEEKDAY(C72,1)=1,"Sunday",WEEKDAY(C72,1)=2,"Monday",WEEKDAY(C72,1)=3,"Tuesday",WEEKDAY(C72,1)=4,"Wednesday",WEEKDAY(C72,1)=5,"Thursday",WEEKDAY(C72,1)=6,"Friday",WEEKDAY(C72,1)=7,"Saturday")</f>
        <v>Monday</v>
      </c>
      <c r="B72" s="61" t="s">
        <v>391</v>
      </c>
      <c r="C72" s="62">
        <f t="shared" si="10"/>
        <v>44907</v>
      </c>
      <c r="D72" s="62">
        <v>44907</v>
      </c>
      <c r="E72" s="63">
        <v>8.3333333333333329E-2</v>
      </c>
      <c r="F72" s="60" t="s">
        <v>95</v>
      </c>
      <c r="G72" s="60" t="s">
        <v>180</v>
      </c>
      <c r="H72" s="61">
        <v>1</v>
      </c>
      <c r="I72" s="61">
        <v>0</v>
      </c>
      <c r="J72" s="61">
        <v>43</v>
      </c>
      <c r="K72" s="61">
        <v>43</v>
      </c>
      <c r="L72" s="61"/>
      <c r="M72" s="61" t="str" cm="1">
        <f t="array" ref="M72">_xlfn.IFS(WEEKDAY(N72,1)=1,"Sunday",WEEKDAY(N72,1)=2,"Monday",WEEKDAY(N72,1)=3,"Tuesday",WEEKDAY(N72,1)=4,"Wednesday",WEEKDAY(N72,1)=5,"Thursday",WEEKDAY(N72,1)=6,"Friday",WEEKDAY(N72,1)=7,"Saturday")</f>
        <v>Monday</v>
      </c>
      <c r="N72" s="62">
        <v>44907</v>
      </c>
      <c r="O72" s="63">
        <v>8.3333333333333329E-2</v>
      </c>
      <c r="P72" s="60" t="s">
        <v>95</v>
      </c>
      <c r="Q72" s="60" t="s">
        <v>247</v>
      </c>
      <c r="R72" s="60" t="s">
        <v>121</v>
      </c>
      <c r="S72" s="68">
        <v>76.744186046511629</v>
      </c>
      <c r="T72" s="61">
        <v>43</v>
      </c>
      <c r="V72">
        <f t="shared" si="6"/>
        <v>47127.999999999993</v>
      </c>
      <c r="W72" s="1">
        <f t="shared" si="7"/>
        <v>1095.9999999999998</v>
      </c>
      <c r="X72">
        <f t="shared" si="8"/>
        <v>31.000000000000004</v>
      </c>
      <c r="Y72" s="55">
        <f t="shared" si="9"/>
        <v>0.76744186046511631</v>
      </c>
    </row>
    <row r="73" spans="1:25" x14ac:dyDescent="0.25">
      <c r="A73" s="61" t="str" cm="1">
        <f t="array" ref="A73">_xlfn.IFS(WEEKDAY(C73,1)=1,"Sunday",WEEKDAY(C73,1)=2,"Monday",WEEKDAY(C73,1)=3,"Tuesday",WEEKDAY(C73,1)=4,"Wednesday",WEEKDAY(C73,1)=5,"Thursday",WEEKDAY(C73,1)=6,"Friday",WEEKDAY(C73,1)=7,"Saturday")</f>
        <v>Monday</v>
      </c>
      <c r="B73" s="61" t="s">
        <v>391</v>
      </c>
      <c r="C73" s="62">
        <f t="shared" si="10"/>
        <v>44907</v>
      </c>
      <c r="D73" s="62">
        <v>44907</v>
      </c>
      <c r="E73" s="63">
        <v>0.125</v>
      </c>
      <c r="F73" s="60" t="s">
        <v>95</v>
      </c>
      <c r="G73" s="60" t="s">
        <v>204</v>
      </c>
      <c r="H73" s="61">
        <v>5</v>
      </c>
      <c r="I73" s="61">
        <v>0</v>
      </c>
      <c r="J73" s="61">
        <v>35</v>
      </c>
      <c r="K73" s="61">
        <v>35</v>
      </c>
      <c r="L73" s="61"/>
      <c r="M73" s="61" t="str" cm="1">
        <f t="array" ref="M73">_xlfn.IFS(WEEKDAY(N73,1)=1,"Sunday",WEEKDAY(N73,1)=2,"Monday",WEEKDAY(N73,1)=3,"Tuesday",WEEKDAY(N73,1)=4,"Wednesday",WEEKDAY(N73,1)=5,"Thursday",WEEKDAY(N73,1)=6,"Friday",WEEKDAY(N73,1)=7,"Saturday")</f>
        <v>Monday</v>
      </c>
      <c r="N73" s="62">
        <v>44907</v>
      </c>
      <c r="O73" s="63">
        <v>0.125</v>
      </c>
      <c r="P73" s="60" t="s">
        <v>95</v>
      </c>
      <c r="Q73" s="60" t="s">
        <v>305</v>
      </c>
      <c r="R73" s="60" t="s">
        <v>187</v>
      </c>
      <c r="S73" s="68">
        <v>80</v>
      </c>
      <c r="T73" s="61">
        <v>35</v>
      </c>
      <c r="V73">
        <f t="shared" si="6"/>
        <v>33459.999999999993</v>
      </c>
      <c r="W73" s="1">
        <f t="shared" si="7"/>
        <v>955.99999999999989</v>
      </c>
      <c r="X73">
        <f t="shared" si="8"/>
        <v>37</v>
      </c>
      <c r="Y73" s="55">
        <f t="shared" si="9"/>
        <v>0.8</v>
      </c>
    </row>
    <row r="74" spans="1:25" x14ac:dyDescent="0.25">
      <c r="A74" s="61" t="str" cm="1">
        <f t="array" ref="A74">_xlfn.IFS(WEEKDAY(C74,1)=1,"Sunday",WEEKDAY(C74,1)=2,"Monday",WEEKDAY(C74,1)=3,"Tuesday",WEEKDAY(C74,1)=4,"Wednesday",WEEKDAY(C74,1)=5,"Thursday",WEEKDAY(C74,1)=6,"Friday",WEEKDAY(C74,1)=7,"Saturday")</f>
        <v>Monday</v>
      </c>
      <c r="B74" s="61" t="s">
        <v>391</v>
      </c>
      <c r="C74" s="62">
        <f t="shared" si="10"/>
        <v>44907</v>
      </c>
      <c r="D74" s="62">
        <v>44907</v>
      </c>
      <c r="E74" s="63">
        <v>0.16666666666666666</v>
      </c>
      <c r="F74" s="60" t="s">
        <v>95</v>
      </c>
      <c r="G74" s="60" t="s">
        <v>138</v>
      </c>
      <c r="H74" s="61">
        <v>2</v>
      </c>
      <c r="I74" s="61">
        <v>0</v>
      </c>
      <c r="J74" s="61">
        <v>23</v>
      </c>
      <c r="K74" s="61">
        <v>23</v>
      </c>
      <c r="L74" s="61"/>
      <c r="M74" s="61" t="str" cm="1">
        <f t="array" ref="M74">_xlfn.IFS(WEEKDAY(N74,1)=1,"Sunday",WEEKDAY(N74,1)=2,"Monday",WEEKDAY(N74,1)=3,"Tuesday",WEEKDAY(N74,1)=4,"Wednesday",WEEKDAY(N74,1)=5,"Thursday",WEEKDAY(N74,1)=6,"Friday",WEEKDAY(N74,1)=7,"Saturday")</f>
        <v>Monday</v>
      </c>
      <c r="N74" s="62">
        <v>44907</v>
      </c>
      <c r="O74" s="63">
        <v>0.16666666666666666</v>
      </c>
      <c r="P74" s="60" t="s">
        <v>95</v>
      </c>
      <c r="Q74" s="60" t="s">
        <v>306</v>
      </c>
      <c r="R74" s="60" t="s">
        <v>125</v>
      </c>
      <c r="S74" s="68">
        <v>91.304347826086953</v>
      </c>
      <c r="T74" s="61">
        <v>23</v>
      </c>
      <c r="V74">
        <f t="shared" si="6"/>
        <v>15341</v>
      </c>
      <c r="W74" s="1">
        <f t="shared" si="7"/>
        <v>667</v>
      </c>
      <c r="X74">
        <f t="shared" si="8"/>
        <v>13.000000000000002</v>
      </c>
      <c r="Y74" s="55">
        <f t="shared" si="9"/>
        <v>0.91304347826086951</v>
      </c>
    </row>
    <row r="75" spans="1:25" x14ac:dyDescent="0.25">
      <c r="A75" s="61" t="str" cm="1">
        <f t="array" ref="A75">_xlfn.IFS(WEEKDAY(C75,1)=1,"Sunday",WEEKDAY(C75,1)=2,"Monday",WEEKDAY(C75,1)=3,"Tuesday",WEEKDAY(C75,1)=4,"Wednesday",WEEKDAY(C75,1)=5,"Thursday",WEEKDAY(C75,1)=6,"Friday",WEEKDAY(C75,1)=7,"Saturday")</f>
        <v>Monday</v>
      </c>
      <c r="B75" s="61" t="s">
        <v>391</v>
      </c>
      <c r="C75" s="62">
        <f t="shared" si="10"/>
        <v>44907</v>
      </c>
      <c r="D75" s="62">
        <v>44907</v>
      </c>
      <c r="E75" s="63">
        <v>0.20833333333333334</v>
      </c>
      <c r="F75" s="60" t="s">
        <v>95</v>
      </c>
      <c r="G75" s="60" t="s">
        <v>128</v>
      </c>
      <c r="H75" s="61">
        <v>0</v>
      </c>
      <c r="I75" s="61">
        <v>0</v>
      </c>
      <c r="J75" s="61">
        <v>1</v>
      </c>
      <c r="K75" s="61">
        <v>1</v>
      </c>
      <c r="L75" s="61"/>
      <c r="M75" s="61" t="str" cm="1">
        <f t="array" ref="M75">_xlfn.IFS(WEEKDAY(N75,1)=1,"Sunday",WEEKDAY(N75,1)=2,"Monday",WEEKDAY(N75,1)=3,"Tuesday",WEEKDAY(N75,1)=4,"Wednesday",WEEKDAY(N75,1)=5,"Thursday",WEEKDAY(N75,1)=6,"Friday",WEEKDAY(N75,1)=7,"Saturday")</f>
        <v>Monday</v>
      </c>
      <c r="N75" s="62">
        <v>44907</v>
      </c>
      <c r="O75" s="63">
        <v>0.20833333333333334</v>
      </c>
      <c r="P75" s="60" t="s">
        <v>95</v>
      </c>
      <c r="Q75" s="60" t="s">
        <v>293</v>
      </c>
      <c r="R75" s="60" t="s">
        <v>128</v>
      </c>
      <c r="S75" s="68">
        <v>100</v>
      </c>
      <c r="T75" s="61">
        <v>1</v>
      </c>
      <c r="V75">
        <f t="shared" si="6"/>
        <v>1320</v>
      </c>
      <c r="W75" s="1">
        <f t="shared" si="7"/>
        <v>1320</v>
      </c>
      <c r="X75">
        <f t="shared" si="8"/>
        <v>5</v>
      </c>
      <c r="Y75" s="55">
        <f t="shared" si="9"/>
        <v>1</v>
      </c>
    </row>
    <row r="76" spans="1:25" x14ac:dyDescent="0.25">
      <c r="A76" s="61" t="str" cm="1">
        <f t="array" ref="A76">_xlfn.IFS(WEEKDAY(C76,1)=1,"Sunday",WEEKDAY(C76,1)=2,"Monday",WEEKDAY(C76,1)=3,"Tuesday",WEEKDAY(C76,1)=4,"Wednesday",WEEKDAY(C76,1)=5,"Thursday",WEEKDAY(C76,1)=6,"Friday",WEEKDAY(C76,1)=7,"Saturday")</f>
        <v>Tuesday</v>
      </c>
      <c r="B76" s="61" t="s">
        <v>391</v>
      </c>
      <c r="C76" s="62">
        <f t="shared" si="10"/>
        <v>44908</v>
      </c>
      <c r="D76" s="62">
        <v>44908</v>
      </c>
      <c r="E76" s="63">
        <v>0.33333333333333331</v>
      </c>
      <c r="F76" s="60" t="s">
        <v>94</v>
      </c>
      <c r="G76" s="60" t="s">
        <v>126</v>
      </c>
      <c r="H76" s="61">
        <v>2</v>
      </c>
      <c r="I76" s="61">
        <v>0</v>
      </c>
      <c r="J76" s="61">
        <v>10</v>
      </c>
      <c r="K76" s="61">
        <v>10</v>
      </c>
      <c r="L76" s="61"/>
      <c r="M76" s="61" t="str" cm="1">
        <f t="array" ref="M76">_xlfn.IFS(WEEKDAY(N76,1)=1,"Sunday",WEEKDAY(N76,1)=2,"Monday",WEEKDAY(N76,1)=3,"Tuesday",WEEKDAY(N76,1)=4,"Wednesday",WEEKDAY(N76,1)=5,"Thursday",WEEKDAY(N76,1)=6,"Friday",WEEKDAY(N76,1)=7,"Saturday")</f>
        <v>Tuesday</v>
      </c>
      <c r="N76" s="62">
        <v>44908</v>
      </c>
      <c r="O76" s="63">
        <v>0.33333333333333331</v>
      </c>
      <c r="P76" s="60" t="s">
        <v>94</v>
      </c>
      <c r="Q76" s="60" t="s">
        <v>252</v>
      </c>
      <c r="R76" s="60" t="s">
        <v>123</v>
      </c>
      <c r="S76" s="68">
        <v>80</v>
      </c>
      <c r="T76" s="61">
        <v>10</v>
      </c>
      <c r="V76">
        <f t="shared" si="6"/>
        <v>6540</v>
      </c>
      <c r="W76" s="1">
        <f t="shared" si="7"/>
        <v>654</v>
      </c>
      <c r="X76">
        <f t="shared" si="8"/>
        <v>20.999999999999996</v>
      </c>
      <c r="Y76" s="55">
        <f t="shared" si="9"/>
        <v>0.8</v>
      </c>
    </row>
    <row r="77" spans="1:25" x14ac:dyDescent="0.25">
      <c r="A77" s="61" t="str" cm="1">
        <f t="array" ref="A77">_xlfn.IFS(WEEKDAY(C77,1)=1,"Sunday",WEEKDAY(C77,1)=2,"Monday",WEEKDAY(C77,1)=3,"Tuesday",WEEKDAY(C77,1)=4,"Wednesday",WEEKDAY(C77,1)=5,"Thursday",WEEKDAY(C77,1)=6,"Friday",WEEKDAY(C77,1)=7,"Saturday")</f>
        <v>Tuesday</v>
      </c>
      <c r="B77" s="61" t="s">
        <v>391</v>
      </c>
      <c r="C77" s="62">
        <f t="shared" si="10"/>
        <v>44908</v>
      </c>
      <c r="D77" s="62">
        <v>44908</v>
      </c>
      <c r="E77" s="63">
        <v>0.375</v>
      </c>
      <c r="F77" s="60" t="s">
        <v>94</v>
      </c>
      <c r="G77" s="60" t="s">
        <v>126</v>
      </c>
      <c r="H77" s="61">
        <v>4</v>
      </c>
      <c r="I77" s="61">
        <v>0</v>
      </c>
      <c r="J77" s="61">
        <v>20</v>
      </c>
      <c r="K77" s="61">
        <v>20</v>
      </c>
      <c r="L77" s="61"/>
      <c r="M77" s="61" t="str" cm="1">
        <f t="array" ref="M77">_xlfn.IFS(WEEKDAY(N77,1)=1,"Sunday",WEEKDAY(N77,1)=2,"Monday",WEEKDAY(N77,1)=3,"Tuesday",WEEKDAY(N77,1)=4,"Wednesday",WEEKDAY(N77,1)=5,"Thursday",WEEKDAY(N77,1)=6,"Friday",WEEKDAY(N77,1)=7,"Saturday")</f>
        <v>Tuesday</v>
      </c>
      <c r="N77" s="62">
        <v>44908</v>
      </c>
      <c r="O77" s="63">
        <v>0.375</v>
      </c>
      <c r="P77" s="60" t="s">
        <v>94</v>
      </c>
      <c r="Q77" s="60" t="s">
        <v>179</v>
      </c>
      <c r="R77" s="60" t="s">
        <v>123</v>
      </c>
      <c r="S77" s="68">
        <v>85</v>
      </c>
      <c r="T77" s="61">
        <v>20</v>
      </c>
      <c r="V77">
        <f t="shared" si="6"/>
        <v>16260.000000000002</v>
      </c>
      <c r="W77" s="1">
        <f t="shared" si="7"/>
        <v>813.00000000000011</v>
      </c>
      <c r="X77">
        <f t="shared" si="8"/>
        <v>20.999999999999996</v>
      </c>
      <c r="Y77" s="55">
        <f t="shared" si="9"/>
        <v>0.85</v>
      </c>
    </row>
    <row r="78" spans="1:25" x14ac:dyDescent="0.25">
      <c r="A78" s="61" t="str" cm="1">
        <f t="array" ref="A78">_xlfn.IFS(WEEKDAY(C78,1)=1,"Sunday",WEEKDAY(C78,1)=2,"Monday",WEEKDAY(C78,1)=3,"Tuesday",WEEKDAY(C78,1)=4,"Wednesday",WEEKDAY(C78,1)=5,"Thursday",WEEKDAY(C78,1)=6,"Friday",WEEKDAY(C78,1)=7,"Saturday")</f>
        <v>Tuesday</v>
      </c>
      <c r="B78" s="61" t="s">
        <v>391</v>
      </c>
      <c r="C78" s="62">
        <f t="shared" si="10"/>
        <v>44908</v>
      </c>
      <c r="D78" s="62">
        <v>44908</v>
      </c>
      <c r="E78" s="63">
        <v>0.41666666666666669</v>
      </c>
      <c r="F78" s="60" t="s">
        <v>94</v>
      </c>
      <c r="G78" s="60" t="s">
        <v>138</v>
      </c>
      <c r="H78" s="61">
        <v>2</v>
      </c>
      <c r="I78" s="61">
        <v>0</v>
      </c>
      <c r="J78" s="61">
        <v>30</v>
      </c>
      <c r="K78" s="61">
        <v>30</v>
      </c>
      <c r="L78" s="61"/>
      <c r="M78" s="61" t="str" cm="1">
        <f t="array" ref="M78">_xlfn.IFS(WEEKDAY(N78,1)=1,"Sunday",WEEKDAY(N78,1)=2,"Monday",WEEKDAY(N78,1)=3,"Tuesday",WEEKDAY(N78,1)=4,"Wednesday",WEEKDAY(N78,1)=5,"Thursday",WEEKDAY(N78,1)=6,"Friday",WEEKDAY(N78,1)=7,"Saturday")</f>
        <v>Tuesday</v>
      </c>
      <c r="N78" s="62">
        <v>44908</v>
      </c>
      <c r="O78" s="63">
        <v>0.41666666666666669</v>
      </c>
      <c r="P78" s="60" t="s">
        <v>94</v>
      </c>
      <c r="Q78" s="60" t="s">
        <v>66</v>
      </c>
      <c r="R78" s="60" t="s">
        <v>125</v>
      </c>
      <c r="S78" s="68">
        <v>93.333333333333329</v>
      </c>
      <c r="T78" s="61">
        <v>30</v>
      </c>
      <c r="V78">
        <f t="shared" si="6"/>
        <v>22259.999999999996</v>
      </c>
      <c r="W78" s="1">
        <f t="shared" si="7"/>
        <v>741.99999999999989</v>
      </c>
      <c r="X78">
        <f t="shared" si="8"/>
        <v>13.000000000000002</v>
      </c>
      <c r="Y78" s="55">
        <f t="shared" si="9"/>
        <v>0.93333333333333324</v>
      </c>
    </row>
    <row r="79" spans="1:25" x14ac:dyDescent="0.25">
      <c r="A79" s="61" t="str" cm="1">
        <f t="array" ref="A79">_xlfn.IFS(WEEKDAY(C79,1)=1,"Sunday",WEEKDAY(C79,1)=2,"Monday",WEEKDAY(C79,1)=3,"Tuesday",WEEKDAY(C79,1)=4,"Wednesday",WEEKDAY(C79,1)=5,"Thursday",WEEKDAY(C79,1)=6,"Friday",WEEKDAY(C79,1)=7,"Saturday")</f>
        <v>Tuesday</v>
      </c>
      <c r="B79" s="61" t="s">
        <v>391</v>
      </c>
      <c r="C79" s="62">
        <f t="shared" si="10"/>
        <v>44908</v>
      </c>
      <c r="D79" s="62">
        <v>44908</v>
      </c>
      <c r="E79" s="63">
        <v>0.45833333333333331</v>
      </c>
      <c r="F79" s="60" t="s">
        <v>94</v>
      </c>
      <c r="G79" s="60" t="s">
        <v>119</v>
      </c>
      <c r="H79" s="61">
        <v>1</v>
      </c>
      <c r="I79" s="61">
        <v>0</v>
      </c>
      <c r="J79" s="61">
        <v>26</v>
      </c>
      <c r="K79" s="61">
        <v>26</v>
      </c>
      <c r="L79" s="61"/>
      <c r="M79" s="61" t="str" cm="1">
        <f t="array" ref="M79">_xlfn.IFS(WEEKDAY(N79,1)=1,"Sunday",WEEKDAY(N79,1)=2,"Monday",WEEKDAY(N79,1)=3,"Tuesday",WEEKDAY(N79,1)=4,"Wednesday",WEEKDAY(N79,1)=5,"Thursday",WEEKDAY(N79,1)=6,"Friday",WEEKDAY(N79,1)=7,"Saturday")</f>
        <v>Tuesday</v>
      </c>
      <c r="N79" s="62">
        <v>44908</v>
      </c>
      <c r="O79" s="63">
        <v>0.45833333333333331</v>
      </c>
      <c r="P79" s="60" t="s">
        <v>94</v>
      </c>
      <c r="Q79" s="60" t="s">
        <v>262</v>
      </c>
      <c r="R79" s="60" t="s">
        <v>118</v>
      </c>
      <c r="S79" s="68">
        <v>96.15384615384616</v>
      </c>
      <c r="T79" s="61">
        <v>26</v>
      </c>
      <c r="V79">
        <f t="shared" si="6"/>
        <v>25896</v>
      </c>
      <c r="W79" s="1">
        <f t="shared" si="7"/>
        <v>996</v>
      </c>
      <c r="X79">
        <f t="shared" si="8"/>
        <v>8</v>
      </c>
      <c r="Y79" s="55">
        <f t="shared" si="9"/>
        <v>0.96153846153846156</v>
      </c>
    </row>
    <row r="80" spans="1:25" x14ac:dyDescent="0.25">
      <c r="A80" s="61" t="str" cm="1">
        <f t="array" ref="A80">_xlfn.IFS(WEEKDAY(C80,1)=1,"Sunday",WEEKDAY(C80,1)=2,"Monday",WEEKDAY(C80,1)=3,"Tuesday",WEEKDAY(C80,1)=4,"Wednesday",WEEKDAY(C80,1)=5,"Thursday",WEEKDAY(C80,1)=6,"Friday",WEEKDAY(C80,1)=7,"Saturday")</f>
        <v>Tuesday</v>
      </c>
      <c r="B80" s="61" t="s">
        <v>391</v>
      </c>
      <c r="C80" s="62">
        <f t="shared" si="10"/>
        <v>44908</v>
      </c>
      <c r="D80" s="62">
        <v>44908</v>
      </c>
      <c r="E80" s="63">
        <v>0.5</v>
      </c>
      <c r="F80" s="60" t="s">
        <v>95</v>
      </c>
      <c r="G80" s="60" t="s">
        <v>119</v>
      </c>
      <c r="H80" s="61">
        <v>1</v>
      </c>
      <c r="I80" s="61">
        <v>0</v>
      </c>
      <c r="J80" s="61">
        <v>42</v>
      </c>
      <c r="K80" s="61">
        <v>42</v>
      </c>
      <c r="L80" s="61"/>
      <c r="M80" s="61" t="str" cm="1">
        <f t="array" ref="M80">_xlfn.IFS(WEEKDAY(N80,1)=1,"Sunday",WEEKDAY(N80,1)=2,"Monday",WEEKDAY(N80,1)=3,"Tuesday",WEEKDAY(N80,1)=4,"Wednesday",WEEKDAY(N80,1)=5,"Thursday",WEEKDAY(N80,1)=6,"Friday",WEEKDAY(N80,1)=7,"Saturday")</f>
        <v>Tuesday</v>
      </c>
      <c r="N80" s="62">
        <v>44908</v>
      </c>
      <c r="O80" s="63">
        <v>0.5</v>
      </c>
      <c r="P80" s="60" t="s">
        <v>95</v>
      </c>
      <c r="Q80" s="60" t="s">
        <v>177</v>
      </c>
      <c r="R80" s="60" t="s">
        <v>118</v>
      </c>
      <c r="S80" s="68">
        <v>97.61904761904762</v>
      </c>
      <c r="T80" s="61">
        <v>42</v>
      </c>
      <c r="V80">
        <f t="shared" si="6"/>
        <v>39983.999999999993</v>
      </c>
      <c r="W80" s="1">
        <f t="shared" si="7"/>
        <v>951.99999999999989</v>
      </c>
      <c r="X80">
        <f t="shared" si="8"/>
        <v>8</v>
      </c>
      <c r="Y80" s="55">
        <f t="shared" si="9"/>
        <v>0.97619047619047616</v>
      </c>
    </row>
    <row r="81" spans="1:25" x14ac:dyDescent="0.25">
      <c r="A81" s="61" t="str" cm="1">
        <f t="array" ref="A81">_xlfn.IFS(WEEKDAY(C81,1)=1,"Sunday",WEEKDAY(C81,1)=2,"Monday",WEEKDAY(C81,1)=3,"Tuesday",WEEKDAY(C81,1)=4,"Wednesday",WEEKDAY(C81,1)=5,"Thursday",WEEKDAY(C81,1)=6,"Friday",WEEKDAY(C81,1)=7,"Saturday")</f>
        <v>Tuesday</v>
      </c>
      <c r="B81" s="61" t="s">
        <v>391</v>
      </c>
      <c r="C81" s="62">
        <f t="shared" si="10"/>
        <v>44908</v>
      </c>
      <c r="D81" s="62">
        <v>44908</v>
      </c>
      <c r="E81" s="63">
        <v>4.1666666666666664E-2</v>
      </c>
      <c r="F81" s="60" t="s">
        <v>95</v>
      </c>
      <c r="G81" s="60" t="s">
        <v>138</v>
      </c>
      <c r="H81" s="61">
        <v>2</v>
      </c>
      <c r="I81" s="61">
        <v>0</v>
      </c>
      <c r="J81" s="61">
        <v>23</v>
      </c>
      <c r="K81" s="61">
        <v>23</v>
      </c>
      <c r="L81" s="61"/>
      <c r="M81" s="61" t="str" cm="1">
        <f t="array" ref="M81">_xlfn.IFS(WEEKDAY(N81,1)=1,"Sunday",WEEKDAY(N81,1)=2,"Monday",WEEKDAY(N81,1)=3,"Tuesday",WEEKDAY(N81,1)=4,"Wednesday",WEEKDAY(N81,1)=5,"Thursday",WEEKDAY(N81,1)=6,"Friday",WEEKDAY(N81,1)=7,"Saturday")</f>
        <v>Tuesday</v>
      </c>
      <c r="N81" s="62">
        <v>44908</v>
      </c>
      <c r="O81" s="63">
        <v>4.1666666666666664E-2</v>
      </c>
      <c r="P81" s="60" t="s">
        <v>95</v>
      </c>
      <c r="Q81" s="60" t="s">
        <v>257</v>
      </c>
      <c r="R81" s="60" t="s">
        <v>125</v>
      </c>
      <c r="S81" s="68">
        <v>91.304347826086953</v>
      </c>
      <c r="T81" s="61">
        <v>23</v>
      </c>
      <c r="V81">
        <f t="shared" si="6"/>
        <v>23460</v>
      </c>
      <c r="W81" s="1">
        <f t="shared" si="7"/>
        <v>1020</v>
      </c>
      <c r="X81">
        <f t="shared" si="8"/>
        <v>13.000000000000002</v>
      </c>
      <c r="Y81" s="55">
        <f t="shared" si="9"/>
        <v>0.91304347826086951</v>
      </c>
    </row>
    <row r="82" spans="1:25" x14ac:dyDescent="0.25">
      <c r="A82" s="61" t="str" cm="1">
        <f t="array" ref="A82">_xlfn.IFS(WEEKDAY(C82,1)=1,"Sunday",WEEKDAY(C82,1)=2,"Monday",WEEKDAY(C82,1)=3,"Tuesday",WEEKDAY(C82,1)=4,"Wednesday",WEEKDAY(C82,1)=5,"Thursday",WEEKDAY(C82,1)=6,"Friday",WEEKDAY(C82,1)=7,"Saturday")</f>
        <v>Tuesday</v>
      </c>
      <c r="B82" s="61" t="s">
        <v>391</v>
      </c>
      <c r="C82" s="62">
        <f t="shared" si="10"/>
        <v>44908</v>
      </c>
      <c r="D82" s="62">
        <v>44908</v>
      </c>
      <c r="E82" s="63">
        <v>8.3333333333333329E-2</v>
      </c>
      <c r="F82" s="60" t="s">
        <v>95</v>
      </c>
      <c r="G82" s="60" t="s">
        <v>92</v>
      </c>
      <c r="H82" s="61">
        <v>3</v>
      </c>
      <c r="I82" s="61">
        <v>0</v>
      </c>
      <c r="J82" s="61">
        <v>18</v>
      </c>
      <c r="K82" s="61">
        <v>18</v>
      </c>
      <c r="L82" s="61"/>
      <c r="M82" s="61" t="str" cm="1">
        <f t="array" ref="M82">_xlfn.IFS(WEEKDAY(N82,1)=1,"Sunday",WEEKDAY(N82,1)=2,"Monday",WEEKDAY(N82,1)=3,"Tuesday",WEEKDAY(N82,1)=4,"Wednesday",WEEKDAY(N82,1)=5,"Thursday",WEEKDAY(N82,1)=6,"Friday",WEEKDAY(N82,1)=7,"Saturday")</f>
        <v>Tuesday</v>
      </c>
      <c r="N82" s="62">
        <v>44908</v>
      </c>
      <c r="O82" s="63">
        <v>8.3333333333333329E-2</v>
      </c>
      <c r="P82" s="60" t="s">
        <v>95</v>
      </c>
      <c r="Q82" s="60" t="s">
        <v>227</v>
      </c>
      <c r="R82" s="60" t="s">
        <v>138</v>
      </c>
      <c r="S82" s="68">
        <v>88.888888888888886</v>
      </c>
      <c r="T82" s="61">
        <v>18</v>
      </c>
      <c r="V82">
        <f t="shared" si="6"/>
        <v>14814</v>
      </c>
      <c r="W82" s="1">
        <f t="shared" si="7"/>
        <v>823</v>
      </c>
      <c r="X82">
        <f t="shared" si="8"/>
        <v>14</v>
      </c>
      <c r="Y82" s="55">
        <f t="shared" si="9"/>
        <v>0.88888888888888884</v>
      </c>
    </row>
    <row r="83" spans="1:25" x14ac:dyDescent="0.25">
      <c r="A83" s="61" t="str" cm="1">
        <f t="array" ref="A83">_xlfn.IFS(WEEKDAY(C83,1)=1,"Sunday",WEEKDAY(C83,1)=2,"Monday",WEEKDAY(C83,1)=3,"Tuesday",WEEKDAY(C83,1)=4,"Wednesday",WEEKDAY(C83,1)=5,"Thursday",WEEKDAY(C83,1)=6,"Friday",WEEKDAY(C83,1)=7,"Saturday")</f>
        <v>Tuesday</v>
      </c>
      <c r="B83" s="61" t="s">
        <v>391</v>
      </c>
      <c r="C83" s="62">
        <f t="shared" si="10"/>
        <v>44908</v>
      </c>
      <c r="D83" s="62">
        <v>44908</v>
      </c>
      <c r="E83" s="63">
        <v>0.125</v>
      </c>
      <c r="F83" s="60" t="s">
        <v>95</v>
      </c>
      <c r="G83" s="60" t="s">
        <v>150</v>
      </c>
      <c r="H83" s="61">
        <v>1</v>
      </c>
      <c r="I83" s="61">
        <v>0</v>
      </c>
      <c r="J83" s="61">
        <v>19</v>
      </c>
      <c r="K83" s="61">
        <v>19</v>
      </c>
      <c r="L83" s="61"/>
      <c r="M83" s="61" t="str" cm="1">
        <f t="array" ref="M83">_xlfn.IFS(WEEKDAY(N83,1)=1,"Sunday",WEEKDAY(N83,1)=2,"Monday",WEEKDAY(N83,1)=3,"Tuesday",WEEKDAY(N83,1)=4,"Wednesday",WEEKDAY(N83,1)=5,"Thursday",WEEKDAY(N83,1)=6,"Friday",WEEKDAY(N83,1)=7,"Saturday")</f>
        <v>Tuesday</v>
      </c>
      <c r="N83" s="62">
        <v>44908</v>
      </c>
      <c r="O83" s="63">
        <v>0.125</v>
      </c>
      <c r="P83" s="60" t="s">
        <v>95</v>
      </c>
      <c r="Q83" s="60" t="s">
        <v>307</v>
      </c>
      <c r="R83" s="60" t="s">
        <v>149</v>
      </c>
      <c r="S83" s="68">
        <v>100</v>
      </c>
      <c r="T83" s="61">
        <v>19</v>
      </c>
      <c r="V83">
        <f t="shared" si="6"/>
        <v>23693.000000000004</v>
      </c>
      <c r="W83" s="1">
        <f t="shared" si="7"/>
        <v>1247.0000000000002</v>
      </c>
      <c r="X83">
        <f t="shared" si="8"/>
        <v>6</v>
      </c>
      <c r="Y83" s="55">
        <f t="shared" si="9"/>
        <v>1</v>
      </c>
    </row>
    <row r="84" spans="1:25" x14ac:dyDescent="0.25">
      <c r="A84" s="61" t="str" cm="1">
        <f t="array" ref="A84">_xlfn.IFS(WEEKDAY(C84,1)=1,"Sunday",WEEKDAY(C84,1)=2,"Monday",WEEKDAY(C84,1)=3,"Tuesday",WEEKDAY(C84,1)=4,"Wednesday",WEEKDAY(C84,1)=5,"Thursday",WEEKDAY(C84,1)=6,"Friday",WEEKDAY(C84,1)=7,"Saturday")</f>
        <v>Tuesday</v>
      </c>
      <c r="B84" s="61" t="s">
        <v>391</v>
      </c>
      <c r="C84" s="62">
        <f t="shared" si="10"/>
        <v>44908</v>
      </c>
      <c r="D84" s="62">
        <v>44908</v>
      </c>
      <c r="E84" s="63">
        <v>0.16666666666666666</v>
      </c>
      <c r="F84" s="60" t="s">
        <v>95</v>
      </c>
      <c r="G84" s="60" t="s">
        <v>114</v>
      </c>
      <c r="H84" s="61">
        <v>2</v>
      </c>
      <c r="I84" s="61">
        <v>0</v>
      </c>
      <c r="J84" s="61">
        <v>20</v>
      </c>
      <c r="K84" s="61">
        <v>20</v>
      </c>
      <c r="L84" s="61"/>
      <c r="M84" s="61" t="str" cm="1">
        <f t="array" ref="M84">_xlfn.IFS(WEEKDAY(N84,1)=1,"Sunday",WEEKDAY(N84,1)=2,"Monday",WEEKDAY(N84,1)=3,"Tuesday",WEEKDAY(N84,1)=4,"Wednesday",WEEKDAY(N84,1)=5,"Thursday",WEEKDAY(N84,1)=6,"Friday",WEEKDAY(N84,1)=7,"Saturday")</f>
        <v>Tuesday</v>
      </c>
      <c r="N84" s="62">
        <v>44908</v>
      </c>
      <c r="O84" s="63">
        <v>0.16666666666666666</v>
      </c>
      <c r="P84" s="60" t="s">
        <v>95</v>
      </c>
      <c r="Q84" s="60" t="s">
        <v>308</v>
      </c>
      <c r="R84" s="60" t="s">
        <v>309</v>
      </c>
      <c r="S84" s="68">
        <v>75</v>
      </c>
      <c r="T84" s="61">
        <v>20</v>
      </c>
      <c r="V84">
        <f t="shared" si="6"/>
        <v>19979.999999999996</v>
      </c>
      <c r="W84" s="1">
        <f t="shared" si="7"/>
        <v>998.99999999999989</v>
      </c>
      <c r="X84">
        <f t="shared" si="8"/>
        <v>173</v>
      </c>
      <c r="Y84" s="55">
        <f t="shared" si="9"/>
        <v>0.75</v>
      </c>
    </row>
    <row r="85" spans="1:25" x14ac:dyDescent="0.25">
      <c r="A85" s="61" t="str" cm="1">
        <f t="array" ref="A85">_xlfn.IFS(WEEKDAY(C85,1)=1,"Sunday",WEEKDAY(C85,1)=2,"Monday",WEEKDAY(C85,1)=3,"Tuesday",WEEKDAY(C85,1)=4,"Wednesday",WEEKDAY(C85,1)=5,"Thursday",WEEKDAY(C85,1)=6,"Friday",WEEKDAY(C85,1)=7,"Saturday")</f>
        <v>Wednesday</v>
      </c>
      <c r="B85" s="61" t="s">
        <v>391</v>
      </c>
      <c r="C85" s="62">
        <f t="shared" si="10"/>
        <v>44909</v>
      </c>
      <c r="D85" s="62">
        <v>44909</v>
      </c>
      <c r="E85" s="63">
        <v>0.33333333333333331</v>
      </c>
      <c r="F85" s="60" t="s">
        <v>94</v>
      </c>
      <c r="G85" s="60" t="s">
        <v>143</v>
      </c>
      <c r="H85" s="61">
        <v>0</v>
      </c>
      <c r="I85" s="61">
        <v>0</v>
      </c>
      <c r="J85" s="61">
        <v>20</v>
      </c>
      <c r="K85" s="61">
        <v>20</v>
      </c>
      <c r="L85" s="61"/>
      <c r="M85" s="61" t="str" cm="1">
        <f t="array" ref="M85">_xlfn.IFS(WEEKDAY(N85,1)=1,"Sunday",WEEKDAY(N85,1)=2,"Monday",WEEKDAY(N85,1)=3,"Tuesday",WEEKDAY(N85,1)=4,"Wednesday",WEEKDAY(N85,1)=5,"Thursday",WEEKDAY(N85,1)=6,"Friday",WEEKDAY(N85,1)=7,"Saturday")</f>
        <v>Wednesday</v>
      </c>
      <c r="N85" s="62">
        <v>44909</v>
      </c>
      <c r="O85" s="63">
        <v>0.33333333333333331</v>
      </c>
      <c r="P85" s="60" t="s">
        <v>94</v>
      </c>
      <c r="Q85" s="60" t="s">
        <v>176</v>
      </c>
      <c r="R85" s="60" t="s">
        <v>103</v>
      </c>
      <c r="S85" s="68">
        <v>70</v>
      </c>
      <c r="T85" s="61">
        <v>20</v>
      </c>
      <c r="V85">
        <f t="shared" si="6"/>
        <v>18120</v>
      </c>
      <c r="W85" s="1">
        <f t="shared" si="7"/>
        <v>906</v>
      </c>
      <c r="X85">
        <f t="shared" si="8"/>
        <v>53</v>
      </c>
      <c r="Y85" s="55">
        <f t="shared" si="9"/>
        <v>0.7</v>
      </c>
    </row>
    <row r="86" spans="1:25" x14ac:dyDescent="0.25">
      <c r="A86" s="61" t="str" cm="1">
        <f t="array" ref="A86">_xlfn.IFS(WEEKDAY(C86,1)=1,"Sunday",WEEKDAY(C86,1)=2,"Monday",WEEKDAY(C86,1)=3,"Tuesday",WEEKDAY(C86,1)=4,"Wednesday",WEEKDAY(C86,1)=5,"Thursday",WEEKDAY(C86,1)=6,"Friday",WEEKDAY(C86,1)=7,"Saturday")</f>
        <v>Wednesday</v>
      </c>
      <c r="B86" s="61" t="s">
        <v>391</v>
      </c>
      <c r="C86" s="62">
        <f t="shared" si="10"/>
        <v>44909</v>
      </c>
      <c r="D86" s="62">
        <v>44909</v>
      </c>
      <c r="E86" s="63">
        <v>0.375</v>
      </c>
      <c r="F86" s="60" t="s">
        <v>94</v>
      </c>
      <c r="G86" s="60" t="s">
        <v>113</v>
      </c>
      <c r="H86" s="61">
        <v>3</v>
      </c>
      <c r="I86" s="61">
        <v>0</v>
      </c>
      <c r="J86" s="61">
        <v>19</v>
      </c>
      <c r="K86" s="61">
        <v>19</v>
      </c>
      <c r="L86" s="61"/>
      <c r="M86" s="61" t="str" cm="1">
        <f t="array" ref="M86">_xlfn.IFS(WEEKDAY(N86,1)=1,"Sunday",WEEKDAY(N86,1)=2,"Monday",WEEKDAY(N86,1)=3,"Tuesday",WEEKDAY(N86,1)=4,"Wednesday",WEEKDAY(N86,1)=5,"Thursday",WEEKDAY(N86,1)=6,"Friday",WEEKDAY(N86,1)=7,"Saturday")</f>
        <v>Wednesday</v>
      </c>
      <c r="N86" s="62">
        <v>44909</v>
      </c>
      <c r="O86" s="63">
        <v>0.375</v>
      </c>
      <c r="P86" s="60" t="s">
        <v>94</v>
      </c>
      <c r="Q86" s="60" t="s">
        <v>100</v>
      </c>
      <c r="R86" s="60" t="s">
        <v>119</v>
      </c>
      <c r="S86" s="68">
        <v>94.73684210526315</v>
      </c>
      <c r="T86" s="61">
        <v>19</v>
      </c>
      <c r="V86">
        <f t="shared" si="6"/>
        <v>18885.999999999996</v>
      </c>
      <c r="W86" s="1">
        <f t="shared" si="7"/>
        <v>993.99999999999989</v>
      </c>
      <c r="X86">
        <f t="shared" si="8"/>
        <v>9</v>
      </c>
      <c r="Y86" s="55">
        <f t="shared" si="9"/>
        <v>0.94736842105263153</v>
      </c>
    </row>
    <row r="87" spans="1:25" x14ac:dyDescent="0.25">
      <c r="A87" s="61" t="str" cm="1">
        <f t="array" ref="A87">_xlfn.IFS(WEEKDAY(C87,1)=1,"Sunday",WEEKDAY(C87,1)=2,"Monday",WEEKDAY(C87,1)=3,"Tuesday",WEEKDAY(C87,1)=4,"Wednesday",WEEKDAY(C87,1)=5,"Thursday",WEEKDAY(C87,1)=6,"Friday",WEEKDAY(C87,1)=7,"Saturday")</f>
        <v>Wednesday</v>
      </c>
      <c r="B87" s="61" t="s">
        <v>391</v>
      </c>
      <c r="C87" s="62">
        <f t="shared" si="10"/>
        <v>44909</v>
      </c>
      <c r="D87" s="62">
        <v>44909</v>
      </c>
      <c r="E87" s="63">
        <v>0.41666666666666669</v>
      </c>
      <c r="F87" s="60" t="s">
        <v>94</v>
      </c>
      <c r="G87" s="60" t="s">
        <v>124</v>
      </c>
      <c r="H87" s="61">
        <v>2</v>
      </c>
      <c r="I87" s="61">
        <v>0</v>
      </c>
      <c r="J87" s="61">
        <v>36</v>
      </c>
      <c r="K87" s="61">
        <v>36</v>
      </c>
      <c r="L87" s="61"/>
      <c r="M87" s="61" t="str" cm="1">
        <f t="array" ref="M87">_xlfn.IFS(WEEKDAY(N87,1)=1,"Sunday",WEEKDAY(N87,1)=2,"Monday",WEEKDAY(N87,1)=3,"Tuesday",WEEKDAY(N87,1)=4,"Wednesday",WEEKDAY(N87,1)=5,"Thursday",WEEKDAY(N87,1)=6,"Friday",WEEKDAY(N87,1)=7,"Saturday")</f>
        <v>Wednesday</v>
      </c>
      <c r="N87" s="62">
        <v>44909</v>
      </c>
      <c r="O87" s="63">
        <v>0.41666666666666669</v>
      </c>
      <c r="P87" s="60" t="s">
        <v>94</v>
      </c>
      <c r="Q87" s="60" t="s">
        <v>153</v>
      </c>
      <c r="R87" s="60" t="s">
        <v>113</v>
      </c>
      <c r="S87" s="68">
        <v>94.444444444444443</v>
      </c>
      <c r="T87" s="61">
        <v>36</v>
      </c>
      <c r="V87">
        <f t="shared" si="6"/>
        <v>33480.000000000007</v>
      </c>
      <c r="W87" s="1">
        <f t="shared" si="7"/>
        <v>930.00000000000011</v>
      </c>
      <c r="X87">
        <f t="shared" si="8"/>
        <v>10</v>
      </c>
      <c r="Y87" s="55">
        <f t="shared" si="9"/>
        <v>0.94444444444444442</v>
      </c>
    </row>
    <row r="88" spans="1:25" x14ac:dyDescent="0.25">
      <c r="A88" s="61" t="str" cm="1">
        <f t="array" ref="A88">_xlfn.IFS(WEEKDAY(C88,1)=1,"Sunday",WEEKDAY(C88,1)=2,"Monday",WEEKDAY(C88,1)=3,"Tuesday",WEEKDAY(C88,1)=4,"Wednesday",WEEKDAY(C88,1)=5,"Thursday",WEEKDAY(C88,1)=6,"Friday",WEEKDAY(C88,1)=7,"Saturday")</f>
        <v>Wednesday</v>
      </c>
      <c r="B88" s="61" t="s">
        <v>391</v>
      </c>
      <c r="C88" s="62">
        <f t="shared" si="10"/>
        <v>44909</v>
      </c>
      <c r="D88" s="62">
        <v>44909</v>
      </c>
      <c r="E88" s="63">
        <v>0.45833333333333331</v>
      </c>
      <c r="F88" s="60" t="s">
        <v>94</v>
      </c>
      <c r="G88" s="60" t="s">
        <v>106</v>
      </c>
      <c r="H88" s="61">
        <v>2</v>
      </c>
      <c r="I88" s="61">
        <v>0</v>
      </c>
      <c r="J88" s="61">
        <v>31</v>
      </c>
      <c r="K88" s="61">
        <v>31</v>
      </c>
      <c r="L88" s="61"/>
      <c r="M88" s="61" t="str" cm="1">
        <f t="array" ref="M88">_xlfn.IFS(WEEKDAY(N88,1)=1,"Sunday",WEEKDAY(N88,1)=2,"Monday",WEEKDAY(N88,1)=3,"Tuesday",WEEKDAY(N88,1)=4,"Wednesday",WEEKDAY(N88,1)=5,"Thursday",WEEKDAY(N88,1)=6,"Friday",WEEKDAY(N88,1)=7,"Saturday")</f>
        <v>Wednesday</v>
      </c>
      <c r="N88" s="62">
        <v>44909</v>
      </c>
      <c r="O88" s="63">
        <v>0.45833333333333331</v>
      </c>
      <c r="P88" s="60" t="s">
        <v>94</v>
      </c>
      <c r="Q88" s="60" t="s">
        <v>80</v>
      </c>
      <c r="R88" s="60" t="s">
        <v>124</v>
      </c>
      <c r="S88" s="68">
        <v>93.548387096774192</v>
      </c>
      <c r="T88" s="61">
        <v>31</v>
      </c>
      <c r="V88">
        <f t="shared" si="6"/>
        <v>27094</v>
      </c>
      <c r="W88" s="1">
        <f t="shared" si="7"/>
        <v>874</v>
      </c>
      <c r="X88">
        <f t="shared" si="8"/>
        <v>10.999999999999998</v>
      </c>
      <c r="Y88" s="55">
        <f t="shared" si="9"/>
        <v>0.93548387096774188</v>
      </c>
    </row>
    <row r="89" spans="1:25" x14ac:dyDescent="0.25">
      <c r="A89" s="61" t="str" cm="1">
        <f t="array" ref="A89">_xlfn.IFS(WEEKDAY(C89,1)=1,"Sunday",WEEKDAY(C89,1)=2,"Monday",WEEKDAY(C89,1)=3,"Tuesday",WEEKDAY(C89,1)=4,"Wednesday",WEEKDAY(C89,1)=5,"Thursday",WEEKDAY(C89,1)=6,"Friday",WEEKDAY(C89,1)=7,"Saturday")</f>
        <v>Wednesday</v>
      </c>
      <c r="B89" s="61" t="s">
        <v>391</v>
      </c>
      <c r="C89" s="62">
        <f t="shared" si="10"/>
        <v>44909</v>
      </c>
      <c r="D89" s="62">
        <v>44909</v>
      </c>
      <c r="E89" s="63">
        <v>0.5</v>
      </c>
      <c r="F89" s="60" t="s">
        <v>95</v>
      </c>
      <c r="G89" s="60" t="s">
        <v>124</v>
      </c>
      <c r="H89" s="61">
        <v>4</v>
      </c>
      <c r="I89" s="61">
        <v>0</v>
      </c>
      <c r="J89" s="61">
        <v>41</v>
      </c>
      <c r="K89" s="61">
        <v>41</v>
      </c>
      <c r="L89" s="61"/>
      <c r="M89" s="61" t="str" cm="1">
        <f t="array" ref="M89">_xlfn.IFS(WEEKDAY(N89,1)=1,"Sunday",WEEKDAY(N89,1)=2,"Monday",WEEKDAY(N89,1)=3,"Tuesday",WEEKDAY(N89,1)=4,"Wednesday",WEEKDAY(N89,1)=5,"Thursday",WEEKDAY(N89,1)=6,"Friday",WEEKDAY(N89,1)=7,"Saturday")</f>
        <v>Wednesday</v>
      </c>
      <c r="N89" s="62">
        <v>44909</v>
      </c>
      <c r="O89" s="63">
        <v>0.5</v>
      </c>
      <c r="P89" s="60" t="s">
        <v>95</v>
      </c>
      <c r="Q89" s="60" t="s">
        <v>254</v>
      </c>
      <c r="R89" s="60" t="s">
        <v>113</v>
      </c>
      <c r="S89" s="68">
        <v>92.682926829268297</v>
      </c>
      <c r="T89" s="61">
        <v>41</v>
      </c>
      <c r="V89">
        <f t="shared" si="6"/>
        <v>40015.999999999993</v>
      </c>
      <c r="W89" s="1">
        <f t="shared" si="7"/>
        <v>975.99999999999989</v>
      </c>
      <c r="X89">
        <f t="shared" si="8"/>
        <v>10</v>
      </c>
      <c r="Y89" s="55">
        <f t="shared" si="9"/>
        <v>0.92682926829268297</v>
      </c>
    </row>
    <row r="90" spans="1:25" x14ac:dyDescent="0.25">
      <c r="A90" s="61" t="str" cm="1">
        <f t="array" ref="A90">_xlfn.IFS(WEEKDAY(C90,1)=1,"Sunday",WEEKDAY(C90,1)=2,"Monday",WEEKDAY(C90,1)=3,"Tuesday",WEEKDAY(C90,1)=4,"Wednesday",WEEKDAY(C90,1)=5,"Thursday",WEEKDAY(C90,1)=6,"Friday",WEEKDAY(C90,1)=7,"Saturday")</f>
        <v>Wednesday</v>
      </c>
      <c r="B90" s="61" t="s">
        <v>391</v>
      </c>
      <c r="C90" s="62">
        <f t="shared" si="10"/>
        <v>44909</v>
      </c>
      <c r="D90" s="62">
        <v>44909</v>
      </c>
      <c r="E90" s="63">
        <v>4.1666666666666664E-2</v>
      </c>
      <c r="F90" s="60" t="s">
        <v>95</v>
      </c>
      <c r="G90" s="60" t="s">
        <v>164</v>
      </c>
      <c r="H90" s="61">
        <v>5</v>
      </c>
      <c r="I90" s="61">
        <v>0</v>
      </c>
      <c r="J90" s="61">
        <v>39</v>
      </c>
      <c r="K90" s="61">
        <v>39</v>
      </c>
      <c r="L90" s="61"/>
      <c r="M90" s="61" t="str" cm="1">
        <f t="array" ref="M90">_xlfn.IFS(WEEKDAY(N90,1)=1,"Sunday",WEEKDAY(N90,1)=2,"Monday",WEEKDAY(N90,1)=3,"Tuesday",WEEKDAY(N90,1)=4,"Wednesday",WEEKDAY(N90,1)=5,"Thursday",WEEKDAY(N90,1)=6,"Friday",WEEKDAY(N90,1)=7,"Saturday")</f>
        <v>Wednesday</v>
      </c>
      <c r="N90" s="62">
        <v>44909</v>
      </c>
      <c r="O90" s="63">
        <v>4.1666666666666664E-2</v>
      </c>
      <c r="P90" s="60" t="s">
        <v>95</v>
      </c>
      <c r="Q90" s="60" t="s">
        <v>98</v>
      </c>
      <c r="R90" s="60" t="s">
        <v>92</v>
      </c>
      <c r="S90" s="68">
        <v>87.179487179487182</v>
      </c>
      <c r="T90" s="61">
        <v>39</v>
      </c>
      <c r="V90">
        <f t="shared" si="6"/>
        <v>31355.999999999996</v>
      </c>
      <c r="W90" s="1">
        <f t="shared" si="7"/>
        <v>803.99999999999989</v>
      </c>
      <c r="X90">
        <f t="shared" si="8"/>
        <v>15</v>
      </c>
      <c r="Y90" s="55">
        <f t="shared" si="9"/>
        <v>0.87179487179487181</v>
      </c>
    </row>
    <row r="91" spans="1:25" x14ac:dyDescent="0.25">
      <c r="A91" s="61" t="str" cm="1">
        <f t="array" ref="A91">_xlfn.IFS(WEEKDAY(C91,1)=1,"Sunday",WEEKDAY(C91,1)=2,"Monday",WEEKDAY(C91,1)=3,"Tuesday",WEEKDAY(C91,1)=4,"Wednesday",WEEKDAY(C91,1)=5,"Thursday",WEEKDAY(C91,1)=6,"Friday",WEEKDAY(C91,1)=7,"Saturday")</f>
        <v>Wednesday</v>
      </c>
      <c r="B91" s="61" t="s">
        <v>391</v>
      </c>
      <c r="C91" s="62">
        <f t="shared" si="10"/>
        <v>44909</v>
      </c>
      <c r="D91" s="62">
        <v>44909</v>
      </c>
      <c r="E91" s="63">
        <v>8.3333333333333329E-2</v>
      </c>
      <c r="F91" s="60" t="s">
        <v>95</v>
      </c>
      <c r="G91" s="60" t="s">
        <v>106</v>
      </c>
      <c r="H91" s="61">
        <v>2</v>
      </c>
      <c r="I91" s="61">
        <v>0</v>
      </c>
      <c r="J91" s="61">
        <v>31</v>
      </c>
      <c r="K91" s="61">
        <v>31</v>
      </c>
      <c r="L91" s="61"/>
      <c r="M91" s="61" t="str" cm="1">
        <f t="array" ref="M91">_xlfn.IFS(WEEKDAY(N91,1)=1,"Sunday",WEEKDAY(N91,1)=2,"Monday",WEEKDAY(N91,1)=3,"Tuesday",WEEKDAY(N91,1)=4,"Wednesday",WEEKDAY(N91,1)=5,"Thursday",WEEKDAY(N91,1)=6,"Friday",WEEKDAY(N91,1)=7,"Saturday")</f>
        <v>Wednesday</v>
      </c>
      <c r="N91" s="62">
        <v>44909</v>
      </c>
      <c r="O91" s="63">
        <v>8.3333333333333329E-2</v>
      </c>
      <c r="P91" s="60" t="s">
        <v>95</v>
      </c>
      <c r="Q91" s="60" t="s">
        <v>140</v>
      </c>
      <c r="R91" s="60" t="s">
        <v>124</v>
      </c>
      <c r="S91" s="68">
        <v>93.548387096774192</v>
      </c>
      <c r="T91" s="61">
        <v>31</v>
      </c>
      <c r="V91">
        <f t="shared" si="6"/>
        <v>26505</v>
      </c>
      <c r="W91" s="1">
        <f t="shared" si="7"/>
        <v>855</v>
      </c>
      <c r="X91">
        <f t="shared" si="8"/>
        <v>10.999999999999998</v>
      </c>
      <c r="Y91" s="55">
        <f t="shared" si="9"/>
        <v>0.93548387096774188</v>
      </c>
    </row>
    <row r="92" spans="1:25" x14ac:dyDescent="0.25">
      <c r="A92" s="61" t="str" cm="1">
        <f t="array" ref="A92">_xlfn.IFS(WEEKDAY(C92,1)=1,"Sunday",WEEKDAY(C92,1)=2,"Monday",WEEKDAY(C92,1)=3,"Tuesday",WEEKDAY(C92,1)=4,"Wednesday",WEEKDAY(C92,1)=5,"Thursday",WEEKDAY(C92,1)=6,"Friday",WEEKDAY(C92,1)=7,"Saturday")</f>
        <v>Wednesday</v>
      </c>
      <c r="B92" s="61" t="s">
        <v>391</v>
      </c>
      <c r="C92" s="62">
        <f t="shared" si="10"/>
        <v>44909</v>
      </c>
      <c r="D92" s="62">
        <v>44909</v>
      </c>
      <c r="E92" s="63">
        <v>0.125</v>
      </c>
      <c r="F92" s="60" t="s">
        <v>95</v>
      </c>
      <c r="G92" s="60" t="s">
        <v>119</v>
      </c>
      <c r="H92" s="61">
        <v>1</v>
      </c>
      <c r="I92" s="61">
        <v>0</v>
      </c>
      <c r="J92" s="61">
        <v>31</v>
      </c>
      <c r="K92" s="61">
        <v>31</v>
      </c>
      <c r="L92" s="61"/>
      <c r="M92" s="61" t="str" cm="1">
        <f t="array" ref="M92">_xlfn.IFS(WEEKDAY(N92,1)=1,"Sunday",WEEKDAY(N92,1)=2,"Monday",WEEKDAY(N92,1)=3,"Tuesday",WEEKDAY(N92,1)=4,"Wednesday",WEEKDAY(N92,1)=5,"Thursday",WEEKDAY(N92,1)=6,"Friday",WEEKDAY(N92,1)=7,"Saturday")</f>
        <v>Wednesday</v>
      </c>
      <c r="N92" s="62">
        <v>44909</v>
      </c>
      <c r="O92" s="63">
        <v>0.125</v>
      </c>
      <c r="P92" s="60" t="s">
        <v>95</v>
      </c>
      <c r="Q92" s="60" t="s">
        <v>104</v>
      </c>
      <c r="R92" s="60" t="s">
        <v>118</v>
      </c>
      <c r="S92" s="68">
        <v>96.774193548387103</v>
      </c>
      <c r="T92" s="61">
        <v>31</v>
      </c>
      <c r="V92">
        <f t="shared" si="6"/>
        <v>24273</v>
      </c>
      <c r="W92" s="1">
        <f t="shared" si="7"/>
        <v>783</v>
      </c>
      <c r="X92">
        <f t="shared" si="8"/>
        <v>8</v>
      </c>
      <c r="Y92" s="55">
        <f t="shared" si="9"/>
        <v>0.967741935483871</v>
      </c>
    </row>
    <row r="93" spans="1:25" x14ac:dyDescent="0.25">
      <c r="A93" s="61" t="str" cm="1">
        <f t="array" ref="A93">_xlfn.IFS(WEEKDAY(C93,1)=1,"Sunday",WEEKDAY(C93,1)=2,"Monday",WEEKDAY(C93,1)=3,"Tuesday",WEEKDAY(C93,1)=4,"Wednesday",WEEKDAY(C93,1)=5,"Thursday",WEEKDAY(C93,1)=6,"Friday",WEEKDAY(C93,1)=7,"Saturday")</f>
        <v>Wednesday</v>
      </c>
      <c r="B93" s="61" t="s">
        <v>391</v>
      </c>
      <c r="C93" s="62">
        <f t="shared" si="10"/>
        <v>44909</v>
      </c>
      <c r="D93" s="62">
        <v>44909</v>
      </c>
      <c r="E93" s="63">
        <v>0.16666666666666666</v>
      </c>
      <c r="F93" s="60" t="s">
        <v>95</v>
      </c>
      <c r="G93" s="60" t="s">
        <v>113</v>
      </c>
      <c r="H93" s="61">
        <v>1</v>
      </c>
      <c r="I93" s="61">
        <v>0</v>
      </c>
      <c r="J93" s="61">
        <v>18</v>
      </c>
      <c r="K93" s="61">
        <v>18</v>
      </c>
      <c r="L93" s="61"/>
      <c r="M93" s="61" t="str" cm="1">
        <f t="array" ref="M93">_xlfn.IFS(WEEKDAY(N93,1)=1,"Sunday",WEEKDAY(N93,1)=2,"Monday",WEEKDAY(N93,1)=3,"Tuesday",WEEKDAY(N93,1)=4,"Wednesday",WEEKDAY(N93,1)=5,"Thursday",WEEKDAY(N93,1)=6,"Friday",WEEKDAY(N93,1)=7,"Saturday")</f>
        <v>Wednesday</v>
      </c>
      <c r="N93" s="62">
        <v>44909</v>
      </c>
      <c r="O93" s="63">
        <v>0.16666666666666666</v>
      </c>
      <c r="P93" s="60" t="s">
        <v>95</v>
      </c>
      <c r="Q93" s="60" t="s">
        <v>310</v>
      </c>
      <c r="R93" s="60" t="s">
        <v>119</v>
      </c>
      <c r="S93" s="68">
        <v>94.444444444444443</v>
      </c>
      <c r="T93" s="61">
        <v>18</v>
      </c>
      <c r="V93">
        <f t="shared" si="6"/>
        <v>18108</v>
      </c>
      <c r="W93" s="1">
        <f t="shared" si="7"/>
        <v>1006</v>
      </c>
      <c r="X93">
        <f t="shared" si="8"/>
        <v>9</v>
      </c>
      <c r="Y93" s="55">
        <f t="shared" si="9"/>
        <v>0.94444444444444442</v>
      </c>
    </row>
    <row r="94" spans="1:25" x14ac:dyDescent="0.25">
      <c r="A94" s="61" t="str" cm="1">
        <f t="array" ref="A94">_xlfn.IFS(WEEKDAY(C94,1)=1,"Sunday",WEEKDAY(C94,1)=2,"Monday",WEEKDAY(C94,1)=3,"Tuesday",WEEKDAY(C94,1)=4,"Wednesday",WEEKDAY(C94,1)=5,"Thursday",WEEKDAY(C94,1)=6,"Friday",WEEKDAY(C94,1)=7,"Saturday")</f>
        <v>Wednesday</v>
      </c>
      <c r="B94" s="61" t="s">
        <v>391</v>
      </c>
      <c r="C94" s="62">
        <f t="shared" si="10"/>
        <v>44909</v>
      </c>
      <c r="D94" s="62">
        <v>44909</v>
      </c>
      <c r="E94" s="63">
        <v>0.20833333333333334</v>
      </c>
      <c r="F94" s="60" t="s">
        <v>95</v>
      </c>
      <c r="G94" s="60" t="s">
        <v>128</v>
      </c>
      <c r="H94" s="61">
        <v>0</v>
      </c>
      <c r="I94" s="61">
        <v>0</v>
      </c>
      <c r="J94" s="61">
        <v>1</v>
      </c>
      <c r="K94" s="61">
        <v>1</v>
      </c>
      <c r="L94" s="61"/>
      <c r="M94" s="61" t="str" cm="1">
        <f t="array" ref="M94">_xlfn.IFS(WEEKDAY(N94,1)=1,"Sunday",WEEKDAY(N94,1)=2,"Monday",WEEKDAY(N94,1)=3,"Tuesday",WEEKDAY(N94,1)=4,"Wednesday",WEEKDAY(N94,1)=5,"Thursday",WEEKDAY(N94,1)=6,"Friday",WEEKDAY(N94,1)=7,"Saturday")</f>
        <v>Wednesday</v>
      </c>
      <c r="N94" s="62">
        <v>44909</v>
      </c>
      <c r="O94" s="63">
        <v>0.20833333333333334</v>
      </c>
      <c r="P94" s="60" t="s">
        <v>95</v>
      </c>
      <c r="Q94" s="60" t="s">
        <v>85</v>
      </c>
      <c r="R94" s="60" t="s">
        <v>128</v>
      </c>
      <c r="S94" s="68">
        <v>100</v>
      </c>
      <c r="T94" s="61">
        <v>1</v>
      </c>
      <c r="V94">
        <f t="shared" si="6"/>
        <v>540</v>
      </c>
      <c r="W94" s="1">
        <f t="shared" si="7"/>
        <v>540</v>
      </c>
      <c r="X94">
        <f t="shared" si="8"/>
        <v>5</v>
      </c>
      <c r="Y94" s="55">
        <f t="shared" si="9"/>
        <v>1</v>
      </c>
    </row>
    <row r="95" spans="1:25" x14ac:dyDescent="0.25">
      <c r="A95" s="61" t="str" cm="1">
        <f t="array" ref="A95">_xlfn.IFS(WEEKDAY(C95,1)=1,"Sunday",WEEKDAY(C95,1)=2,"Monday",WEEKDAY(C95,1)=3,"Tuesday",WEEKDAY(C95,1)=4,"Wednesday",WEEKDAY(C95,1)=5,"Thursday",WEEKDAY(C95,1)=6,"Friday",WEEKDAY(C95,1)=7,"Saturday")</f>
        <v>Thursday</v>
      </c>
      <c r="B95" s="61" t="s">
        <v>391</v>
      </c>
      <c r="C95" s="62">
        <f t="shared" si="10"/>
        <v>44910</v>
      </c>
      <c r="D95" s="62">
        <v>44910</v>
      </c>
      <c r="E95" s="63">
        <v>0.33333333333333331</v>
      </c>
      <c r="F95" s="60" t="s">
        <v>94</v>
      </c>
      <c r="G95" s="60" t="s">
        <v>198</v>
      </c>
      <c r="H95" s="61">
        <v>4</v>
      </c>
      <c r="I95" s="61">
        <v>1</v>
      </c>
      <c r="J95" s="61">
        <v>17</v>
      </c>
      <c r="K95" s="61">
        <v>19</v>
      </c>
      <c r="L95" s="61"/>
      <c r="M95" s="61" t="str" cm="1">
        <f t="array" ref="M95">_xlfn.IFS(WEEKDAY(N95,1)=1,"Sunday",WEEKDAY(N95,1)=2,"Monday",WEEKDAY(N95,1)=3,"Tuesday",WEEKDAY(N95,1)=4,"Wednesday",WEEKDAY(N95,1)=5,"Thursday",WEEKDAY(N95,1)=6,"Friday",WEEKDAY(N95,1)=7,"Saturday")</f>
        <v>Thursday</v>
      </c>
      <c r="N95" s="62">
        <v>44910</v>
      </c>
      <c r="O95" s="63">
        <v>0.33333333333333331</v>
      </c>
      <c r="P95" s="60" t="s">
        <v>94</v>
      </c>
      <c r="Q95" s="60" t="s">
        <v>311</v>
      </c>
      <c r="R95" s="60" t="s">
        <v>198</v>
      </c>
      <c r="S95" s="68">
        <v>76.470588235294116</v>
      </c>
      <c r="T95" s="61">
        <v>17</v>
      </c>
      <c r="V95">
        <f t="shared" si="6"/>
        <v>11115</v>
      </c>
      <c r="W95" s="1">
        <f t="shared" si="7"/>
        <v>585</v>
      </c>
      <c r="X95">
        <f t="shared" si="8"/>
        <v>33</v>
      </c>
      <c r="Y95" s="55">
        <f t="shared" si="9"/>
        <v>0.76470588235294112</v>
      </c>
    </row>
    <row r="96" spans="1:25" x14ac:dyDescent="0.25">
      <c r="A96" s="61" t="str" cm="1">
        <f t="array" ref="A96">_xlfn.IFS(WEEKDAY(C96,1)=1,"Sunday",WEEKDAY(C96,1)=2,"Monday",WEEKDAY(C96,1)=3,"Tuesday",WEEKDAY(C96,1)=4,"Wednesday",WEEKDAY(C96,1)=5,"Thursday",WEEKDAY(C96,1)=6,"Friday",WEEKDAY(C96,1)=7,"Saturday")</f>
        <v>Thursday</v>
      </c>
      <c r="B96" s="61" t="s">
        <v>391</v>
      </c>
      <c r="C96" s="62">
        <f t="shared" si="10"/>
        <v>44910</v>
      </c>
      <c r="D96" s="62">
        <v>44910</v>
      </c>
      <c r="E96" s="63">
        <v>0.375</v>
      </c>
      <c r="F96" s="60" t="s">
        <v>94</v>
      </c>
      <c r="G96" s="60" t="s">
        <v>205</v>
      </c>
      <c r="H96" s="61">
        <v>3</v>
      </c>
      <c r="I96" s="61">
        <v>0</v>
      </c>
      <c r="J96" s="61">
        <v>27</v>
      </c>
      <c r="K96" s="61">
        <v>27</v>
      </c>
      <c r="L96" s="61"/>
      <c r="M96" s="61" t="str" cm="1">
        <f t="array" ref="M96">_xlfn.IFS(WEEKDAY(N96,1)=1,"Sunday",WEEKDAY(N96,1)=2,"Monday",WEEKDAY(N96,1)=3,"Tuesday",WEEKDAY(N96,1)=4,"Wednesday",WEEKDAY(N96,1)=5,"Thursday",WEEKDAY(N96,1)=6,"Friday",WEEKDAY(N96,1)=7,"Saturday")</f>
        <v>Thursday</v>
      </c>
      <c r="N96" s="62">
        <v>44910</v>
      </c>
      <c r="O96" s="63">
        <v>0.375</v>
      </c>
      <c r="P96" s="60" t="s">
        <v>94</v>
      </c>
      <c r="Q96" s="60" t="s">
        <v>312</v>
      </c>
      <c r="R96" s="60" t="s">
        <v>205</v>
      </c>
      <c r="S96" s="68">
        <v>74.074074074074076</v>
      </c>
      <c r="T96" s="61">
        <v>27</v>
      </c>
      <c r="V96">
        <f t="shared" si="6"/>
        <v>18171</v>
      </c>
      <c r="W96" s="1">
        <f t="shared" si="7"/>
        <v>673</v>
      </c>
      <c r="X96">
        <f t="shared" si="8"/>
        <v>86</v>
      </c>
      <c r="Y96" s="55">
        <f t="shared" si="9"/>
        <v>0.74074074074074081</v>
      </c>
    </row>
    <row r="97" spans="1:25" x14ac:dyDescent="0.25">
      <c r="A97" s="61" t="str" cm="1">
        <f t="array" ref="A97">_xlfn.IFS(WEEKDAY(C97,1)=1,"Sunday",WEEKDAY(C97,1)=2,"Monday",WEEKDAY(C97,1)=3,"Tuesday",WEEKDAY(C97,1)=4,"Wednesday",WEEKDAY(C97,1)=5,"Thursday",WEEKDAY(C97,1)=6,"Friday",WEEKDAY(C97,1)=7,"Saturday")</f>
        <v>Thursday</v>
      </c>
      <c r="B97" s="61" t="s">
        <v>391</v>
      </c>
      <c r="C97" s="62">
        <f t="shared" si="10"/>
        <v>44910</v>
      </c>
      <c r="D97" s="62">
        <v>44910</v>
      </c>
      <c r="E97" s="63">
        <v>0.41666666666666669</v>
      </c>
      <c r="F97" s="60" t="s">
        <v>94</v>
      </c>
      <c r="G97" s="60" t="s">
        <v>361</v>
      </c>
      <c r="H97" s="61">
        <v>6</v>
      </c>
      <c r="I97" s="61">
        <v>0</v>
      </c>
      <c r="J97" s="61">
        <v>30</v>
      </c>
      <c r="K97" s="61">
        <v>30</v>
      </c>
      <c r="L97" s="61"/>
      <c r="M97" s="61" t="str" cm="1">
        <f t="array" ref="M97">_xlfn.IFS(WEEKDAY(N97,1)=1,"Sunday",WEEKDAY(N97,1)=2,"Monday",WEEKDAY(N97,1)=3,"Tuesday",WEEKDAY(N97,1)=4,"Wednesday",WEEKDAY(N97,1)=5,"Thursday",WEEKDAY(N97,1)=6,"Friday",WEEKDAY(N97,1)=7,"Saturday")</f>
        <v>Thursday</v>
      </c>
      <c r="N97" s="62">
        <v>44910</v>
      </c>
      <c r="O97" s="63">
        <v>0.41666666666666669</v>
      </c>
      <c r="P97" s="60" t="s">
        <v>94</v>
      </c>
      <c r="Q97" s="60" t="s">
        <v>277</v>
      </c>
      <c r="R97" s="60" t="s">
        <v>313</v>
      </c>
      <c r="S97" s="68">
        <v>56.666666666666664</v>
      </c>
      <c r="T97" s="61">
        <v>30</v>
      </c>
      <c r="V97">
        <f t="shared" si="6"/>
        <v>30060</v>
      </c>
      <c r="W97" s="1">
        <f t="shared" si="7"/>
        <v>1002</v>
      </c>
      <c r="X97">
        <f t="shared" si="8"/>
        <v>117</v>
      </c>
      <c r="Y97" s="55">
        <f t="shared" si="9"/>
        <v>0.56666666666666665</v>
      </c>
    </row>
    <row r="98" spans="1:25" x14ac:dyDescent="0.25">
      <c r="A98" s="61" t="str" cm="1">
        <f t="array" ref="A98">_xlfn.IFS(WEEKDAY(C98,1)=1,"Sunday",WEEKDAY(C98,1)=2,"Monday",WEEKDAY(C98,1)=3,"Tuesday",WEEKDAY(C98,1)=4,"Wednesday",WEEKDAY(C98,1)=5,"Thursday",WEEKDAY(C98,1)=6,"Friday",WEEKDAY(C98,1)=7,"Saturday")</f>
        <v>Thursday</v>
      </c>
      <c r="B98" s="61" t="s">
        <v>391</v>
      </c>
      <c r="C98" s="62">
        <f t="shared" si="10"/>
        <v>44910</v>
      </c>
      <c r="D98" s="62">
        <v>44910</v>
      </c>
      <c r="E98" s="63">
        <v>0.45833333333333331</v>
      </c>
      <c r="F98" s="60" t="s">
        <v>94</v>
      </c>
      <c r="G98" s="60" t="s">
        <v>123</v>
      </c>
      <c r="H98" s="61">
        <v>4</v>
      </c>
      <c r="I98" s="61">
        <v>0</v>
      </c>
      <c r="J98" s="61">
        <v>30</v>
      </c>
      <c r="K98" s="61">
        <v>30</v>
      </c>
      <c r="L98" s="61"/>
      <c r="M98" s="61" t="str" cm="1">
        <f t="array" ref="M98">_xlfn.IFS(WEEKDAY(N98,1)=1,"Sunday",WEEKDAY(N98,1)=2,"Monday",WEEKDAY(N98,1)=3,"Tuesday",WEEKDAY(N98,1)=4,"Wednesday",WEEKDAY(N98,1)=5,"Thursday",WEEKDAY(N98,1)=6,"Friday",WEEKDAY(N98,1)=7,"Saturday")</f>
        <v>Thursday</v>
      </c>
      <c r="N98" s="62">
        <v>44910</v>
      </c>
      <c r="O98" s="63">
        <v>0.45833333333333331</v>
      </c>
      <c r="P98" s="60" t="s">
        <v>94</v>
      </c>
      <c r="Q98" s="60" t="s">
        <v>267</v>
      </c>
      <c r="R98" s="60" t="s">
        <v>134</v>
      </c>
      <c r="S98" s="68">
        <v>83.333333333333343</v>
      </c>
      <c r="T98" s="61">
        <v>30</v>
      </c>
      <c r="V98">
        <f t="shared" si="6"/>
        <v>30240</v>
      </c>
      <c r="W98" s="1">
        <f t="shared" si="7"/>
        <v>1008</v>
      </c>
      <c r="X98">
        <f t="shared" si="8"/>
        <v>20</v>
      </c>
      <c r="Y98" s="55">
        <f t="shared" ref="Y98:Y129" si="11">S98/100</f>
        <v>0.83333333333333348</v>
      </c>
    </row>
    <row r="99" spans="1:25" x14ac:dyDescent="0.25">
      <c r="A99" s="61" t="str" cm="1">
        <f t="array" ref="A99">_xlfn.IFS(WEEKDAY(C99,1)=1,"Sunday",WEEKDAY(C99,1)=2,"Monday",WEEKDAY(C99,1)=3,"Tuesday",WEEKDAY(C99,1)=4,"Wednesday",WEEKDAY(C99,1)=5,"Thursday",WEEKDAY(C99,1)=6,"Friday",WEEKDAY(C99,1)=7,"Saturday")</f>
        <v>Thursday</v>
      </c>
      <c r="B99" s="61" t="s">
        <v>391</v>
      </c>
      <c r="C99" s="62">
        <f t="shared" si="10"/>
        <v>44910</v>
      </c>
      <c r="D99" s="62">
        <v>44910</v>
      </c>
      <c r="E99" s="63">
        <v>0.5</v>
      </c>
      <c r="F99" s="60" t="s">
        <v>95</v>
      </c>
      <c r="G99" s="60" t="s">
        <v>106</v>
      </c>
      <c r="H99" s="61">
        <v>3</v>
      </c>
      <c r="I99" s="61">
        <v>0</v>
      </c>
      <c r="J99" s="61">
        <v>52</v>
      </c>
      <c r="K99" s="61">
        <v>52</v>
      </c>
      <c r="L99" s="61"/>
      <c r="M99" s="61" t="str" cm="1">
        <f t="array" ref="M99">_xlfn.IFS(WEEKDAY(N99,1)=1,"Sunday",WEEKDAY(N99,1)=2,"Monday",WEEKDAY(N99,1)=3,"Tuesday",WEEKDAY(N99,1)=4,"Wednesday",WEEKDAY(N99,1)=5,"Thursday",WEEKDAY(N99,1)=6,"Friday",WEEKDAY(N99,1)=7,"Saturday")</f>
        <v>Thursday</v>
      </c>
      <c r="N99" s="62">
        <v>44910</v>
      </c>
      <c r="O99" s="63">
        <v>0.5</v>
      </c>
      <c r="P99" s="60" t="s">
        <v>95</v>
      </c>
      <c r="Q99" s="60" t="s">
        <v>75</v>
      </c>
      <c r="R99" s="60" t="s">
        <v>124</v>
      </c>
      <c r="S99" s="68">
        <v>92.307692307692307</v>
      </c>
      <c r="T99" s="61">
        <v>52</v>
      </c>
      <c r="V99">
        <f t="shared" si="6"/>
        <v>37492.000000000007</v>
      </c>
      <c r="W99" s="1">
        <f t="shared" si="7"/>
        <v>721.00000000000011</v>
      </c>
      <c r="X99">
        <f t="shared" si="8"/>
        <v>10.999999999999998</v>
      </c>
      <c r="Y99" s="55">
        <f t="shared" si="11"/>
        <v>0.92307692307692302</v>
      </c>
    </row>
    <row r="100" spans="1:25" x14ac:dyDescent="0.25">
      <c r="A100" s="61" t="str" cm="1">
        <f t="array" ref="A100">_xlfn.IFS(WEEKDAY(C100,1)=1,"Sunday",WEEKDAY(C100,1)=2,"Monday",WEEKDAY(C100,1)=3,"Tuesday",WEEKDAY(C100,1)=4,"Wednesday",WEEKDAY(C100,1)=5,"Thursday",WEEKDAY(C100,1)=6,"Friday",WEEKDAY(C100,1)=7,"Saturday")</f>
        <v>Thursday</v>
      </c>
      <c r="B100" s="61" t="s">
        <v>391</v>
      </c>
      <c r="C100" s="62">
        <f t="shared" si="10"/>
        <v>44910</v>
      </c>
      <c r="D100" s="62">
        <v>44910</v>
      </c>
      <c r="E100" s="63">
        <v>4.1666666666666664E-2</v>
      </c>
      <c r="F100" s="60" t="s">
        <v>95</v>
      </c>
      <c r="G100" s="60" t="s">
        <v>138</v>
      </c>
      <c r="H100" s="61">
        <v>4</v>
      </c>
      <c r="I100" s="61">
        <v>0</v>
      </c>
      <c r="J100" s="61">
        <v>38</v>
      </c>
      <c r="K100" s="61">
        <v>38</v>
      </c>
      <c r="L100" s="61"/>
      <c r="M100" s="61" t="str" cm="1">
        <f t="array" ref="M100">_xlfn.IFS(WEEKDAY(N100,1)=1,"Sunday",WEEKDAY(N100,1)=2,"Monday",WEEKDAY(N100,1)=3,"Tuesday",WEEKDAY(N100,1)=4,"Wednesday",WEEKDAY(N100,1)=5,"Thursday",WEEKDAY(N100,1)=6,"Friday",WEEKDAY(N100,1)=7,"Saturday")</f>
        <v>Thursday</v>
      </c>
      <c r="N100" s="62">
        <v>44910</v>
      </c>
      <c r="O100" s="63">
        <v>4.1666666666666664E-2</v>
      </c>
      <c r="P100" s="60" t="s">
        <v>95</v>
      </c>
      <c r="Q100" s="60" t="s">
        <v>314</v>
      </c>
      <c r="R100" s="60" t="s">
        <v>125</v>
      </c>
      <c r="S100" s="68">
        <v>94.73684210526315</v>
      </c>
      <c r="T100" s="61">
        <v>38</v>
      </c>
      <c r="V100">
        <f t="shared" si="6"/>
        <v>104993.99999999999</v>
      </c>
      <c r="W100" s="1">
        <f t="shared" si="7"/>
        <v>2762.9999999999995</v>
      </c>
      <c r="X100">
        <f t="shared" si="8"/>
        <v>13.000000000000002</v>
      </c>
      <c r="Y100" s="55">
        <f t="shared" si="11"/>
        <v>0.94736842105263153</v>
      </c>
    </row>
    <row r="101" spans="1:25" x14ac:dyDescent="0.25">
      <c r="A101" s="61" t="str" cm="1">
        <f t="array" ref="A101">_xlfn.IFS(WEEKDAY(C101,1)=1,"Sunday",WEEKDAY(C101,1)=2,"Monday",WEEKDAY(C101,1)=3,"Tuesday",WEEKDAY(C101,1)=4,"Wednesday",WEEKDAY(C101,1)=5,"Thursday",WEEKDAY(C101,1)=6,"Friday",WEEKDAY(C101,1)=7,"Saturday")</f>
        <v>Thursday</v>
      </c>
      <c r="B101" s="61" t="s">
        <v>391</v>
      </c>
      <c r="C101" s="62">
        <f t="shared" si="10"/>
        <v>44910</v>
      </c>
      <c r="D101" s="62">
        <v>44910</v>
      </c>
      <c r="E101" s="63">
        <v>8.3333333333333329E-2</v>
      </c>
      <c r="F101" s="60" t="s">
        <v>95</v>
      </c>
      <c r="G101" s="60" t="s">
        <v>178</v>
      </c>
      <c r="H101" s="61">
        <v>2</v>
      </c>
      <c r="I101" s="61">
        <v>0</v>
      </c>
      <c r="J101" s="61">
        <v>35</v>
      </c>
      <c r="K101" s="61">
        <v>35</v>
      </c>
      <c r="L101" s="61"/>
      <c r="M101" s="61" t="str" cm="1">
        <f t="array" ref="M101">_xlfn.IFS(WEEKDAY(N101,1)=1,"Sunday",WEEKDAY(N101,1)=2,"Monday",WEEKDAY(N101,1)=3,"Tuesday",WEEKDAY(N101,1)=4,"Wednesday",WEEKDAY(N101,1)=5,"Thursday",WEEKDAY(N101,1)=6,"Friday",WEEKDAY(N101,1)=7,"Saturday")</f>
        <v>Thursday</v>
      </c>
      <c r="N101" s="62">
        <v>44910</v>
      </c>
      <c r="O101" s="63">
        <v>8.3333333333333329E-2</v>
      </c>
      <c r="P101" s="60" t="s">
        <v>95</v>
      </c>
      <c r="Q101" s="60" t="s">
        <v>156</v>
      </c>
      <c r="R101" s="60" t="s">
        <v>315</v>
      </c>
      <c r="S101" s="68">
        <v>65.714285714285708</v>
      </c>
      <c r="T101" s="61">
        <v>35</v>
      </c>
      <c r="V101">
        <f t="shared" si="6"/>
        <v>33354.999999999993</v>
      </c>
      <c r="W101" s="1">
        <f t="shared" si="7"/>
        <v>952.99999999999989</v>
      </c>
      <c r="X101">
        <f t="shared" si="8"/>
        <v>161.00000000000003</v>
      </c>
      <c r="Y101" s="55">
        <f t="shared" si="11"/>
        <v>0.65714285714285703</v>
      </c>
    </row>
    <row r="102" spans="1:25" x14ac:dyDescent="0.25">
      <c r="A102" s="61" t="str" cm="1">
        <f t="array" ref="A102">_xlfn.IFS(WEEKDAY(C102,1)=1,"Sunday",WEEKDAY(C102,1)=2,"Monday",WEEKDAY(C102,1)=3,"Tuesday",WEEKDAY(C102,1)=4,"Wednesday",WEEKDAY(C102,1)=5,"Thursday",WEEKDAY(C102,1)=6,"Friday",WEEKDAY(C102,1)=7,"Saturday")</f>
        <v>Thursday</v>
      </c>
      <c r="B102" s="61" t="s">
        <v>391</v>
      </c>
      <c r="C102" s="62">
        <f t="shared" si="10"/>
        <v>44910</v>
      </c>
      <c r="D102" s="62">
        <v>44910</v>
      </c>
      <c r="E102" s="63">
        <v>0.125</v>
      </c>
      <c r="F102" s="60" t="s">
        <v>95</v>
      </c>
      <c r="G102" s="60" t="s">
        <v>362</v>
      </c>
      <c r="H102" s="61">
        <v>3</v>
      </c>
      <c r="I102" s="61">
        <v>8</v>
      </c>
      <c r="J102" s="61">
        <v>18</v>
      </c>
      <c r="K102" s="61">
        <v>26</v>
      </c>
      <c r="L102" s="61"/>
      <c r="M102" s="61" t="str" cm="1">
        <f t="array" ref="M102">_xlfn.IFS(WEEKDAY(N102,1)=1,"Sunday",WEEKDAY(N102,1)=2,"Monday",WEEKDAY(N102,1)=3,"Tuesday",WEEKDAY(N102,1)=4,"Wednesday",WEEKDAY(N102,1)=5,"Thursday",WEEKDAY(N102,1)=6,"Friday",WEEKDAY(N102,1)=7,"Saturday")</f>
        <v>Thursday</v>
      </c>
      <c r="N102" s="62">
        <v>44910</v>
      </c>
      <c r="O102" s="63">
        <v>0.125</v>
      </c>
      <c r="P102" s="60" t="s">
        <v>95</v>
      </c>
      <c r="Q102" s="60" t="s">
        <v>170</v>
      </c>
      <c r="R102" s="60" t="s">
        <v>242</v>
      </c>
      <c r="S102" s="68">
        <v>22.222222222222221</v>
      </c>
      <c r="T102" s="61">
        <v>18</v>
      </c>
      <c r="V102">
        <f t="shared" si="6"/>
        <v>16796.000000000004</v>
      </c>
      <c r="W102" s="1">
        <f t="shared" si="7"/>
        <v>646.00000000000011</v>
      </c>
      <c r="X102">
        <f t="shared" si="8"/>
        <v>641.99999999999989</v>
      </c>
      <c r="Y102" s="55">
        <f t="shared" si="11"/>
        <v>0.22222222222222221</v>
      </c>
    </row>
    <row r="103" spans="1:25" x14ac:dyDescent="0.25">
      <c r="A103" s="61" t="str" cm="1">
        <f t="array" ref="A103">_xlfn.IFS(WEEKDAY(C103,1)=1,"Sunday",WEEKDAY(C103,1)=2,"Monday",WEEKDAY(C103,1)=3,"Tuesday",WEEKDAY(C103,1)=4,"Wednesday",WEEKDAY(C103,1)=5,"Thursday",WEEKDAY(C103,1)=6,"Friday",WEEKDAY(C103,1)=7,"Saturday")</f>
        <v>Thursday</v>
      </c>
      <c r="B103" s="61" t="s">
        <v>391</v>
      </c>
      <c r="C103" s="62">
        <f t="shared" si="10"/>
        <v>44910</v>
      </c>
      <c r="D103" s="62">
        <v>44910</v>
      </c>
      <c r="E103" s="63">
        <v>0.16666666666666666</v>
      </c>
      <c r="F103" s="60" t="s">
        <v>95</v>
      </c>
      <c r="G103" s="60" t="s">
        <v>226</v>
      </c>
      <c r="H103" s="61">
        <v>0</v>
      </c>
      <c r="I103" s="61">
        <v>14</v>
      </c>
      <c r="J103" s="61">
        <v>13</v>
      </c>
      <c r="K103" s="61">
        <v>27</v>
      </c>
      <c r="L103" s="61"/>
      <c r="M103" s="61" t="str" cm="1">
        <f t="array" ref="M103">_xlfn.IFS(WEEKDAY(N103,1)=1,"Sunday",WEEKDAY(N103,1)=2,"Monday",WEEKDAY(N103,1)=3,"Tuesday",WEEKDAY(N103,1)=4,"Wednesday",WEEKDAY(N103,1)=5,"Thursday",WEEKDAY(N103,1)=6,"Friday",WEEKDAY(N103,1)=7,"Saturday")</f>
        <v>Thursday</v>
      </c>
      <c r="N103" s="62">
        <v>44910</v>
      </c>
      <c r="O103" s="63">
        <v>0.16666666666666666</v>
      </c>
      <c r="P103" s="60" t="s">
        <v>95</v>
      </c>
      <c r="Q103" s="60" t="s">
        <v>316</v>
      </c>
      <c r="R103" s="60" t="s">
        <v>261</v>
      </c>
      <c r="S103" s="68">
        <v>23.076923076923077</v>
      </c>
      <c r="T103" s="61">
        <v>13</v>
      </c>
      <c r="V103">
        <f t="shared" si="6"/>
        <v>34506.000000000007</v>
      </c>
      <c r="W103" s="1">
        <f t="shared" si="7"/>
        <v>1278.0000000000002</v>
      </c>
      <c r="X103">
        <f t="shared" si="8"/>
        <v>824</v>
      </c>
      <c r="Y103" s="55">
        <f t="shared" si="11"/>
        <v>0.23076923076923075</v>
      </c>
    </row>
    <row r="104" spans="1:25" x14ac:dyDescent="0.25">
      <c r="A104" s="61" t="str" cm="1">
        <f t="array" ref="A104">_xlfn.IFS(WEEKDAY(C104,1)=1,"Sunday",WEEKDAY(C104,1)=2,"Monday",WEEKDAY(C104,1)=3,"Tuesday",WEEKDAY(C104,1)=4,"Wednesday",WEEKDAY(C104,1)=5,"Thursday",WEEKDAY(C104,1)=6,"Friday",WEEKDAY(C104,1)=7,"Saturday")</f>
        <v>Friday</v>
      </c>
      <c r="B104" s="61" t="s">
        <v>391</v>
      </c>
      <c r="C104" s="62">
        <f t="shared" si="10"/>
        <v>44911</v>
      </c>
      <c r="D104" s="62">
        <v>44911</v>
      </c>
      <c r="E104" s="63">
        <v>0.33333333333333331</v>
      </c>
      <c r="F104" s="60" t="s">
        <v>94</v>
      </c>
      <c r="G104" s="60" t="s">
        <v>124</v>
      </c>
      <c r="H104" s="61">
        <v>1</v>
      </c>
      <c r="I104" s="61">
        <v>0</v>
      </c>
      <c r="J104" s="61">
        <v>14</v>
      </c>
      <c r="K104" s="61">
        <v>14</v>
      </c>
      <c r="L104" s="61"/>
      <c r="M104" s="61" t="str" cm="1">
        <f t="array" ref="M104">_xlfn.IFS(WEEKDAY(N104,1)=1,"Sunday",WEEKDAY(N104,1)=2,"Monday",WEEKDAY(N104,1)=3,"Tuesday",WEEKDAY(N104,1)=4,"Wednesday",WEEKDAY(N104,1)=5,"Thursday",WEEKDAY(N104,1)=6,"Friday",WEEKDAY(N104,1)=7,"Saturday")</f>
        <v>Friday</v>
      </c>
      <c r="N104" s="62">
        <v>44911</v>
      </c>
      <c r="O104" s="63">
        <v>0.33333333333333331</v>
      </c>
      <c r="P104" s="60" t="s">
        <v>94</v>
      </c>
      <c r="Q104" s="60" t="s">
        <v>158</v>
      </c>
      <c r="R104" s="60" t="s">
        <v>124</v>
      </c>
      <c r="S104" s="68">
        <v>92.857142857142861</v>
      </c>
      <c r="T104" s="61">
        <v>14</v>
      </c>
      <c r="V104">
        <f t="shared" si="6"/>
        <v>11927.999999999998</v>
      </c>
      <c r="W104" s="1">
        <f t="shared" si="7"/>
        <v>851.99999999999989</v>
      </c>
      <c r="X104">
        <f t="shared" si="8"/>
        <v>10.999999999999998</v>
      </c>
      <c r="Y104" s="55">
        <f t="shared" si="11"/>
        <v>0.9285714285714286</v>
      </c>
    </row>
    <row r="105" spans="1:25" x14ac:dyDescent="0.25">
      <c r="A105" s="61" t="str" cm="1">
        <f t="array" ref="A105">_xlfn.IFS(WEEKDAY(C105,1)=1,"Sunday",WEEKDAY(C105,1)=2,"Monday",WEEKDAY(C105,1)=3,"Tuesday",WEEKDAY(C105,1)=4,"Wednesday",WEEKDAY(C105,1)=5,"Thursday",WEEKDAY(C105,1)=6,"Friday",WEEKDAY(C105,1)=7,"Saturday")</f>
        <v>Friday</v>
      </c>
      <c r="B105" s="61" t="s">
        <v>391</v>
      </c>
      <c r="C105" s="62">
        <f t="shared" si="10"/>
        <v>44911</v>
      </c>
      <c r="D105" s="62">
        <v>44911</v>
      </c>
      <c r="E105" s="63">
        <v>0.375</v>
      </c>
      <c r="F105" s="60" t="s">
        <v>94</v>
      </c>
      <c r="G105" s="60" t="s">
        <v>113</v>
      </c>
      <c r="H105" s="61">
        <v>0</v>
      </c>
      <c r="I105" s="61">
        <v>0</v>
      </c>
      <c r="J105" s="61">
        <v>20</v>
      </c>
      <c r="K105" s="61">
        <v>20</v>
      </c>
      <c r="L105" s="61"/>
      <c r="M105" s="61" t="str" cm="1">
        <f t="array" ref="M105">_xlfn.IFS(WEEKDAY(N105,1)=1,"Sunday",WEEKDAY(N105,1)=2,"Monday",WEEKDAY(N105,1)=3,"Tuesday",WEEKDAY(N105,1)=4,"Wednesday",WEEKDAY(N105,1)=5,"Thursday",WEEKDAY(N105,1)=6,"Friday",WEEKDAY(N105,1)=7,"Saturday")</f>
        <v>Friday</v>
      </c>
      <c r="N105" s="62">
        <v>44911</v>
      </c>
      <c r="O105" s="63">
        <v>0.375</v>
      </c>
      <c r="P105" s="60" t="s">
        <v>94</v>
      </c>
      <c r="Q105" s="60" t="s">
        <v>210</v>
      </c>
      <c r="R105" s="60" t="s">
        <v>119</v>
      </c>
      <c r="S105" s="68">
        <v>100</v>
      </c>
      <c r="T105" s="61">
        <v>20</v>
      </c>
      <c r="V105">
        <f t="shared" si="6"/>
        <v>19800.000000000004</v>
      </c>
      <c r="W105" s="1">
        <f t="shared" si="7"/>
        <v>990.00000000000011</v>
      </c>
      <c r="X105">
        <f t="shared" si="8"/>
        <v>9</v>
      </c>
      <c r="Y105" s="55">
        <f t="shared" si="11"/>
        <v>1</v>
      </c>
    </row>
    <row r="106" spans="1:25" x14ac:dyDescent="0.25">
      <c r="A106" s="61" t="str" cm="1">
        <f t="array" ref="A106">_xlfn.IFS(WEEKDAY(C106,1)=1,"Sunday",WEEKDAY(C106,1)=2,"Monday",WEEKDAY(C106,1)=3,"Tuesday",WEEKDAY(C106,1)=4,"Wednesday",WEEKDAY(C106,1)=5,"Thursday",WEEKDAY(C106,1)=6,"Friday",WEEKDAY(C106,1)=7,"Saturday")</f>
        <v>Friday</v>
      </c>
      <c r="B106" s="61" t="s">
        <v>391</v>
      </c>
      <c r="C106" s="62">
        <f t="shared" si="10"/>
        <v>44911</v>
      </c>
      <c r="D106" s="62">
        <v>44911</v>
      </c>
      <c r="E106" s="63">
        <v>0.41666666666666669</v>
      </c>
      <c r="F106" s="60" t="s">
        <v>94</v>
      </c>
      <c r="G106" s="60" t="s">
        <v>184</v>
      </c>
      <c r="H106" s="61">
        <v>3</v>
      </c>
      <c r="I106" s="61">
        <v>2</v>
      </c>
      <c r="J106" s="61">
        <v>33</v>
      </c>
      <c r="K106" s="61">
        <v>35</v>
      </c>
      <c r="L106" s="61"/>
      <c r="M106" s="61" t="str" cm="1">
        <f t="array" ref="M106">_xlfn.IFS(WEEKDAY(N106,1)=1,"Sunday",WEEKDAY(N106,1)=2,"Monday",WEEKDAY(N106,1)=3,"Tuesday",WEEKDAY(N106,1)=4,"Wednesday",WEEKDAY(N106,1)=5,"Thursday",WEEKDAY(N106,1)=6,"Friday",WEEKDAY(N106,1)=7,"Saturday")</f>
        <v>Friday</v>
      </c>
      <c r="N106" s="62">
        <v>44911</v>
      </c>
      <c r="O106" s="63">
        <v>0.41666666666666669</v>
      </c>
      <c r="P106" s="60" t="s">
        <v>94</v>
      </c>
      <c r="Q106" s="60" t="s">
        <v>276</v>
      </c>
      <c r="R106" s="60" t="s">
        <v>189</v>
      </c>
      <c r="S106" s="68">
        <v>48.484848484848484</v>
      </c>
      <c r="T106" s="61">
        <v>33</v>
      </c>
      <c r="V106">
        <f t="shared" si="6"/>
        <v>31815</v>
      </c>
      <c r="W106" s="1">
        <f t="shared" si="7"/>
        <v>909</v>
      </c>
      <c r="X106">
        <f t="shared" si="8"/>
        <v>148</v>
      </c>
      <c r="Y106" s="55">
        <f t="shared" si="11"/>
        <v>0.48484848484848486</v>
      </c>
    </row>
    <row r="107" spans="1:25" x14ac:dyDescent="0.25">
      <c r="A107" s="61" t="str" cm="1">
        <f t="array" ref="A107">_xlfn.IFS(WEEKDAY(C107,1)=1,"Sunday",WEEKDAY(C107,1)=2,"Monday",WEEKDAY(C107,1)=3,"Tuesday",WEEKDAY(C107,1)=4,"Wednesday",WEEKDAY(C107,1)=5,"Thursday",WEEKDAY(C107,1)=6,"Friday",WEEKDAY(C107,1)=7,"Saturday")</f>
        <v>Friday</v>
      </c>
      <c r="B107" s="61" t="s">
        <v>391</v>
      </c>
      <c r="C107" s="62">
        <f t="shared" si="10"/>
        <v>44911</v>
      </c>
      <c r="D107" s="62">
        <v>44911</v>
      </c>
      <c r="E107" s="63">
        <v>0.45833333333333331</v>
      </c>
      <c r="F107" s="60" t="s">
        <v>94</v>
      </c>
      <c r="G107" s="60" t="s">
        <v>126</v>
      </c>
      <c r="H107" s="61">
        <v>1</v>
      </c>
      <c r="I107" s="61">
        <v>0</v>
      </c>
      <c r="J107" s="61">
        <v>29</v>
      </c>
      <c r="K107" s="61">
        <v>29</v>
      </c>
      <c r="L107" s="61"/>
      <c r="M107" s="61" t="str" cm="1">
        <f t="array" ref="M107">_xlfn.IFS(WEEKDAY(N107,1)=1,"Sunday",WEEKDAY(N107,1)=2,"Monday",WEEKDAY(N107,1)=3,"Tuesday",WEEKDAY(N107,1)=4,"Wednesday",WEEKDAY(N107,1)=5,"Thursday",WEEKDAY(N107,1)=6,"Friday",WEEKDAY(N107,1)=7,"Saturday")</f>
        <v>Friday</v>
      </c>
      <c r="N107" s="62">
        <v>44911</v>
      </c>
      <c r="O107" s="63">
        <v>0.45833333333333331</v>
      </c>
      <c r="P107" s="60" t="s">
        <v>94</v>
      </c>
      <c r="Q107" s="60" t="s">
        <v>239</v>
      </c>
      <c r="R107" s="60" t="s">
        <v>123</v>
      </c>
      <c r="S107" s="68">
        <v>89.65517241379311</v>
      </c>
      <c r="T107" s="61">
        <v>29</v>
      </c>
      <c r="V107">
        <f t="shared" si="6"/>
        <v>26447.999999999996</v>
      </c>
      <c r="W107" s="1">
        <f t="shared" si="7"/>
        <v>911.99999999999989</v>
      </c>
      <c r="X107">
        <f t="shared" si="8"/>
        <v>20.999999999999996</v>
      </c>
      <c r="Y107" s="55">
        <f t="shared" si="11"/>
        <v>0.89655172413793105</v>
      </c>
    </row>
    <row r="108" spans="1:25" x14ac:dyDescent="0.25">
      <c r="A108" s="61" t="str" cm="1">
        <f t="array" ref="A108">_xlfn.IFS(WEEKDAY(C108,1)=1,"Sunday",WEEKDAY(C108,1)=2,"Monday",WEEKDAY(C108,1)=3,"Tuesday",WEEKDAY(C108,1)=4,"Wednesday",WEEKDAY(C108,1)=5,"Thursday",WEEKDAY(C108,1)=6,"Friday",WEEKDAY(C108,1)=7,"Saturday")</f>
        <v>Friday</v>
      </c>
      <c r="B108" s="61" t="s">
        <v>391</v>
      </c>
      <c r="C108" s="62">
        <f t="shared" si="10"/>
        <v>44911</v>
      </c>
      <c r="D108" s="62">
        <v>44911</v>
      </c>
      <c r="E108" s="63">
        <v>0.5</v>
      </c>
      <c r="F108" s="60" t="s">
        <v>95</v>
      </c>
      <c r="G108" s="60" t="s">
        <v>124</v>
      </c>
      <c r="H108" s="61">
        <v>3</v>
      </c>
      <c r="I108" s="61">
        <v>0</v>
      </c>
      <c r="J108" s="61">
        <v>42</v>
      </c>
      <c r="K108" s="61">
        <v>42</v>
      </c>
      <c r="L108" s="61"/>
      <c r="M108" s="61" t="str" cm="1">
        <f t="array" ref="M108">_xlfn.IFS(WEEKDAY(N108,1)=1,"Sunday",WEEKDAY(N108,1)=2,"Monday",WEEKDAY(N108,1)=3,"Tuesday",WEEKDAY(N108,1)=4,"Wednesday",WEEKDAY(N108,1)=5,"Thursday",WEEKDAY(N108,1)=6,"Friday",WEEKDAY(N108,1)=7,"Saturday")</f>
        <v>Friday</v>
      </c>
      <c r="N108" s="62">
        <v>44911</v>
      </c>
      <c r="O108" s="63">
        <v>0.5</v>
      </c>
      <c r="P108" s="60" t="s">
        <v>95</v>
      </c>
      <c r="Q108" s="60" t="s">
        <v>220</v>
      </c>
      <c r="R108" s="60" t="s">
        <v>113</v>
      </c>
      <c r="S108" s="68">
        <v>95.238095238095227</v>
      </c>
      <c r="T108" s="61">
        <v>42</v>
      </c>
      <c r="V108">
        <f t="shared" si="6"/>
        <v>34524</v>
      </c>
      <c r="W108" s="1">
        <f t="shared" si="7"/>
        <v>822</v>
      </c>
      <c r="X108">
        <f t="shared" si="8"/>
        <v>10</v>
      </c>
      <c r="Y108" s="55">
        <f t="shared" si="11"/>
        <v>0.95238095238095222</v>
      </c>
    </row>
    <row r="109" spans="1:25" x14ac:dyDescent="0.25">
      <c r="A109" s="61" t="str" cm="1">
        <f t="array" ref="A109">_xlfn.IFS(WEEKDAY(C109,1)=1,"Sunday",WEEKDAY(C109,1)=2,"Monday",WEEKDAY(C109,1)=3,"Tuesday",WEEKDAY(C109,1)=4,"Wednesday",WEEKDAY(C109,1)=5,"Thursday",WEEKDAY(C109,1)=6,"Friday",WEEKDAY(C109,1)=7,"Saturday")</f>
        <v>Friday</v>
      </c>
      <c r="B109" s="61" t="s">
        <v>391</v>
      </c>
      <c r="C109" s="62">
        <f t="shared" si="10"/>
        <v>44911</v>
      </c>
      <c r="D109" s="62">
        <v>44911</v>
      </c>
      <c r="E109" s="63">
        <v>4.1666666666666664E-2</v>
      </c>
      <c r="F109" s="60" t="s">
        <v>95</v>
      </c>
      <c r="G109" s="60" t="s">
        <v>106</v>
      </c>
      <c r="H109" s="61">
        <v>2</v>
      </c>
      <c r="I109" s="61">
        <v>0</v>
      </c>
      <c r="J109" s="61">
        <v>43</v>
      </c>
      <c r="K109" s="61">
        <v>43</v>
      </c>
      <c r="L109" s="61"/>
      <c r="M109" s="61" t="str" cm="1">
        <f t="array" ref="M109">_xlfn.IFS(WEEKDAY(N109,1)=1,"Sunday",WEEKDAY(N109,1)=2,"Monday",WEEKDAY(N109,1)=3,"Tuesday",WEEKDAY(N109,1)=4,"Wednesday",WEEKDAY(N109,1)=5,"Thursday",WEEKDAY(N109,1)=6,"Friday",WEEKDAY(N109,1)=7,"Saturday")</f>
        <v>Friday</v>
      </c>
      <c r="N109" s="62">
        <v>44911</v>
      </c>
      <c r="O109" s="63">
        <v>4.1666666666666664E-2</v>
      </c>
      <c r="P109" s="60" t="s">
        <v>95</v>
      </c>
      <c r="Q109" s="60" t="s">
        <v>317</v>
      </c>
      <c r="R109" s="60" t="s">
        <v>124</v>
      </c>
      <c r="S109" s="68">
        <v>93.023255813953483</v>
      </c>
      <c r="T109" s="61">
        <v>43</v>
      </c>
      <c r="V109">
        <f t="shared" si="6"/>
        <v>32336</v>
      </c>
      <c r="W109" s="1">
        <f t="shared" si="7"/>
        <v>752</v>
      </c>
      <c r="X109">
        <f t="shared" si="8"/>
        <v>10.999999999999998</v>
      </c>
      <c r="Y109" s="55">
        <f t="shared" si="11"/>
        <v>0.93023255813953487</v>
      </c>
    </row>
    <row r="110" spans="1:25" x14ac:dyDescent="0.25">
      <c r="A110" s="61" t="str" cm="1">
        <f t="array" ref="A110">_xlfn.IFS(WEEKDAY(C110,1)=1,"Sunday",WEEKDAY(C110,1)=2,"Monday",WEEKDAY(C110,1)=3,"Tuesday",WEEKDAY(C110,1)=4,"Wednesday",WEEKDAY(C110,1)=5,"Thursday",WEEKDAY(C110,1)=6,"Friday",WEEKDAY(C110,1)=7,"Saturday")</f>
        <v>Friday</v>
      </c>
      <c r="B110" s="61" t="s">
        <v>391</v>
      </c>
      <c r="C110" s="62">
        <f t="shared" si="10"/>
        <v>44911</v>
      </c>
      <c r="D110" s="62">
        <v>44911</v>
      </c>
      <c r="E110" s="63">
        <v>8.3333333333333329E-2</v>
      </c>
      <c r="F110" s="60" t="s">
        <v>95</v>
      </c>
      <c r="G110" s="60" t="s">
        <v>111</v>
      </c>
      <c r="H110" s="61">
        <v>4</v>
      </c>
      <c r="I110" s="61">
        <v>0</v>
      </c>
      <c r="J110" s="61">
        <v>28</v>
      </c>
      <c r="K110" s="61">
        <v>28</v>
      </c>
      <c r="L110" s="61"/>
      <c r="M110" s="61" t="str" cm="1">
        <f t="array" ref="M110">_xlfn.IFS(WEEKDAY(N110,1)=1,"Sunday",WEEKDAY(N110,1)=2,"Monday",WEEKDAY(N110,1)=3,"Tuesday",WEEKDAY(N110,1)=4,"Wednesday",WEEKDAY(N110,1)=5,"Thursday",WEEKDAY(N110,1)=6,"Friday",WEEKDAY(N110,1)=7,"Saturday")</f>
        <v>Friday</v>
      </c>
      <c r="N110" s="62">
        <v>44911</v>
      </c>
      <c r="O110" s="63">
        <v>8.3333333333333329E-2</v>
      </c>
      <c r="P110" s="60" t="s">
        <v>95</v>
      </c>
      <c r="Q110" s="60" t="s">
        <v>235</v>
      </c>
      <c r="R110" s="60" t="s">
        <v>164</v>
      </c>
      <c r="S110" s="68">
        <v>85.714285714285708</v>
      </c>
      <c r="T110" s="61">
        <v>28</v>
      </c>
      <c r="V110">
        <f t="shared" si="6"/>
        <v>21476</v>
      </c>
      <c r="W110" s="1">
        <f t="shared" si="7"/>
        <v>767</v>
      </c>
      <c r="X110">
        <f t="shared" si="8"/>
        <v>16</v>
      </c>
      <c r="Y110" s="55">
        <f t="shared" si="11"/>
        <v>0.8571428571428571</v>
      </c>
    </row>
    <row r="111" spans="1:25" x14ac:dyDescent="0.25">
      <c r="A111" s="61" t="str" cm="1">
        <f t="array" ref="A111">_xlfn.IFS(WEEKDAY(C111,1)=1,"Sunday",WEEKDAY(C111,1)=2,"Monday",WEEKDAY(C111,1)=3,"Tuesday",WEEKDAY(C111,1)=4,"Wednesday",WEEKDAY(C111,1)=5,"Thursday",WEEKDAY(C111,1)=6,"Friday",WEEKDAY(C111,1)=7,"Saturday")</f>
        <v>Friday</v>
      </c>
      <c r="B111" s="61" t="s">
        <v>391</v>
      </c>
      <c r="C111" s="62">
        <f t="shared" si="10"/>
        <v>44911</v>
      </c>
      <c r="D111" s="62">
        <v>44911</v>
      </c>
      <c r="E111" s="63">
        <v>0.125</v>
      </c>
      <c r="F111" s="60" t="s">
        <v>95</v>
      </c>
      <c r="G111" s="60" t="s">
        <v>125</v>
      </c>
      <c r="H111" s="61">
        <v>2</v>
      </c>
      <c r="I111" s="61">
        <v>0</v>
      </c>
      <c r="J111" s="61">
        <v>28</v>
      </c>
      <c r="K111" s="61">
        <v>28</v>
      </c>
      <c r="L111" s="61"/>
      <c r="M111" s="61" t="str" cm="1">
        <f t="array" ref="M111">_xlfn.IFS(WEEKDAY(N111,1)=1,"Sunday",WEEKDAY(N111,1)=2,"Monday",WEEKDAY(N111,1)=3,"Tuesday",WEEKDAY(N111,1)=4,"Wednesday",WEEKDAY(N111,1)=5,"Thursday",WEEKDAY(N111,1)=6,"Friday",WEEKDAY(N111,1)=7,"Saturday")</f>
        <v>Friday</v>
      </c>
      <c r="N111" s="62">
        <v>44911</v>
      </c>
      <c r="O111" s="63">
        <v>0.125</v>
      </c>
      <c r="P111" s="60" t="s">
        <v>95</v>
      </c>
      <c r="Q111" s="60" t="s">
        <v>318</v>
      </c>
      <c r="R111" s="60" t="s">
        <v>106</v>
      </c>
      <c r="S111" s="68">
        <v>92.857142857142861</v>
      </c>
      <c r="T111" s="61">
        <v>28</v>
      </c>
      <c r="V111">
        <f t="shared" si="6"/>
        <v>30996</v>
      </c>
      <c r="W111" s="1">
        <f t="shared" si="7"/>
        <v>1107</v>
      </c>
      <c r="X111">
        <f t="shared" si="8"/>
        <v>12</v>
      </c>
      <c r="Y111" s="55">
        <f t="shared" si="11"/>
        <v>0.9285714285714286</v>
      </c>
    </row>
    <row r="112" spans="1:25" x14ac:dyDescent="0.25">
      <c r="A112" s="61" t="str" cm="1">
        <f t="array" ref="A112">_xlfn.IFS(WEEKDAY(C112,1)=1,"Sunday",WEEKDAY(C112,1)=2,"Monday",WEEKDAY(C112,1)=3,"Tuesday",WEEKDAY(C112,1)=4,"Wednesday",WEEKDAY(C112,1)=5,"Thursday",WEEKDAY(C112,1)=6,"Friday",WEEKDAY(C112,1)=7,"Saturday")</f>
        <v>Friday</v>
      </c>
      <c r="B112" s="61" t="s">
        <v>391</v>
      </c>
      <c r="C112" s="62">
        <f t="shared" si="10"/>
        <v>44911</v>
      </c>
      <c r="D112" s="62">
        <v>44911</v>
      </c>
      <c r="E112" s="63">
        <v>0.16666666666666666</v>
      </c>
      <c r="F112" s="60" t="s">
        <v>95</v>
      </c>
      <c r="G112" s="60" t="s">
        <v>150</v>
      </c>
      <c r="H112" s="61">
        <v>2</v>
      </c>
      <c r="I112" s="61">
        <v>0</v>
      </c>
      <c r="J112" s="61">
        <v>23</v>
      </c>
      <c r="K112" s="61">
        <v>23</v>
      </c>
      <c r="L112" s="61"/>
      <c r="M112" s="61" t="str" cm="1">
        <f t="array" ref="M112">_xlfn.IFS(WEEKDAY(N112,1)=1,"Sunday",WEEKDAY(N112,1)=2,"Monday",WEEKDAY(N112,1)=3,"Tuesday",WEEKDAY(N112,1)=4,"Wednesday",WEEKDAY(N112,1)=5,"Thursday",WEEKDAY(N112,1)=6,"Friday",WEEKDAY(N112,1)=7,"Saturday")</f>
        <v>Friday</v>
      </c>
      <c r="N112" s="62">
        <v>44911</v>
      </c>
      <c r="O112" s="63">
        <v>0.16666666666666666</v>
      </c>
      <c r="P112" s="60" t="s">
        <v>95</v>
      </c>
      <c r="Q112" s="60" t="s">
        <v>266</v>
      </c>
      <c r="R112" s="60" t="s">
        <v>149</v>
      </c>
      <c r="S112" s="68">
        <v>100</v>
      </c>
      <c r="T112" s="61">
        <v>23</v>
      </c>
      <c r="V112">
        <f t="shared" si="6"/>
        <v>15111</v>
      </c>
      <c r="W112" s="1">
        <f t="shared" si="7"/>
        <v>657</v>
      </c>
      <c r="X112">
        <f t="shared" si="8"/>
        <v>6</v>
      </c>
      <c r="Y112" s="55">
        <f t="shared" si="11"/>
        <v>1</v>
      </c>
    </row>
    <row r="113" spans="1:25" x14ac:dyDescent="0.25">
      <c r="A113" s="61" t="str" cm="1">
        <f t="array" ref="A113">_xlfn.IFS(WEEKDAY(C113,1)=1,"Sunday",WEEKDAY(C113,1)=2,"Monday",WEEKDAY(C113,1)=3,"Tuesday",WEEKDAY(C113,1)=4,"Wednesday",WEEKDAY(C113,1)=5,"Thursday",WEEKDAY(C113,1)=6,"Friday",WEEKDAY(C113,1)=7,"Saturday")</f>
        <v>Monday</v>
      </c>
      <c r="B113" s="61" t="s">
        <v>391</v>
      </c>
      <c r="C113" s="62">
        <f t="shared" si="10"/>
        <v>44914</v>
      </c>
      <c r="D113" s="62">
        <v>44914</v>
      </c>
      <c r="E113" s="63">
        <v>0.33333333333333331</v>
      </c>
      <c r="F113" s="60" t="s">
        <v>94</v>
      </c>
      <c r="G113" s="60" t="s">
        <v>150</v>
      </c>
      <c r="H113" s="61">
        <v>0</v>
      </c>
      <c r="I113" s="61">
        <v>0</v>
      </c>
      <c r="J113" s="61">
        <v>10</v>
      </c>
      <c r="K113" s="61">
        <v>10</v>
      </c>
      <c r="L113" s="61"/>
      <c r="M113" s="61" t="str" cm="1">
        <f t="array" ref="M113">_xlfn.IFS(WEEKDAY(N113,1)=1,"Sunday",WEEKDAY(N113,1)=2,"Monday",WEEKDAY(N113,1)=3,"Tuesday",WEEKDAY(N113,1)=4,"Wednesday",WEEKDAY(N113,1)=5,"Thursday",WEEKDAY(N113,1)=6,"Friday",WEEKDAY(N113,1)=7,"Saturday")</f>
        <v>Monday</v>
      </c>
      <c r="N113" s="62">
        <v>44914</v>
      </c>
      <c r="O113" s="63">
        <v>0.33333333333333331</v>
      </c>
      <c r="P113" s="60" t="s">
        <v>94</v>
      </c>
      <c r="Q113" s="60" t="s">
        <v>319</v>
      </c>
      <c r="R113" s="60" t="s">
        <v>149</v>
      </c>
      <c r="S113" s="68">
        <v>100</v>
      </c>
      <c r="T113" s="61">
        <v>10</v>
      </c>
      <c r="V113">
        <f t="shared" si="6"/>
        <v>12360.000000000002</v>
      </c>
      <c r="W113" s="1">
        <f t="shared" si="7"/>
        <v>1236.0000000000002</v>
      </c>
      <c r="X113">
        <f t="shared" si="8"/>
        <v>6</v>
      </c>
      <c r="Y113" s="55">
        <f t="shared" si="11"/>
        <v>1</v>
      </c>
    </row>
    <row r="114" spans="1:25" x14ac:dyDescent="0.25">
      <c r="A114" s="61" t="str" cm="1">
        <f t="array" ref="A114">_xlfn.IFS(WEEKDAY(C114,1)=1,"Sunday",WEEKDAY(C114,1)=2,"Monday",WEEKDAY(C114,1)=3,"Tuesday",WEEKDAY(C114,1)=4,"Wednesday",WEEKDAY(C114,1)=5,"Thursday",WEEKDAY(C114,1)=6,"Friday",WEEKDAY(C114,1)=7,"Saturday")</f>
        <v>Monday</v>
      </c>
      <c r="B114" s="61" t="s">
        <v>391</v>
      </c>
      <c r="C114" s="62">
        <f t="shared" si="10"/>
        <v>44914</v>
      </c>
      <c r="D114" s="62">
        <v>44914</v>
      </c>
      <c r="E114" s="63">
        <v>0.375</v>
      </c>
      <c r="F114" s="60" t="s">
        <v>94</v>
      </c>
      <c r="G114" s="60" t="s">
        <v>148</v>
      </c>
      <c r="H114" s="61">
        <v>1</v>
      </c>
      <c r="I114" s="61">
        <v>0</v>
      </c>
      <c r="J114" s="61">
        <v>21</v>
      </c>
      <c r="K114" s="61">
        <v>21</v>
      </c>
      <c r="L114" s="61"/>
      <c r="M114" s="61" t="str" cm="1">
        <f t="array" ref="M114">_xlfn.IFS(WEEKDAY(N114,1)=1,"Sunday",WEEKDAY(N114,1)=2,"Monday",WEEKDAY(N114,1)=3,"Tuesday",WEEKDAY(N114,1)=4,"Wednesday",WEEKDAY(N114,1)=5,"Thursday",WEEKDAY(N114,1)=6,"Friday",WEEKDAY(N114,1)=7,"Saturday")</f>
        <v>Monday</v>
      </c>
      <c r="N114" s="62">
        <v>44914</v>
      </c>
      <c r="O114" s="63">
        <v>0.375</v>
      </c>
      <c r="P114" s="60" t="s">
        <v>94</v>
      </c>
      <c r="Q114" s="60" t="s">
        <v>320</v>
      </c>
      <c r="R114" s="60" t="s">
        <v>127</v>
      </c>
      <c r="S114" s="68">
        <v>80.952380952380949</v>
      </c>
      <c r="T114" s="61">
        <v>21</v>
      </c>
      <c r="V114">
        <f t="shared" si="6"/>
        <v>24948</v>
      </c>
      <c r="W114" s="1">
        <f t="shared" si="7"/>
        <v>1188</v>
      </c>
      <c r="X114">
        <f t="shared" si="8"/>
        <v>41.999999999999993</v>
      </c>
      <c r="Y114" s="55">
        <f t="shared" si="11"/>
        <v>0.80952380952380953</v>
      </c>
    </row>
    <row r="115" spans="1:25" x14ac:dyDescent="0.25">
      <c r="A115" s="61" t="str" cm="1">
        <f t="array" ref="A115">_xlfn.IFS(WEEKDAY(C115,1)=1,"Sunday",WEEKDAY(C115,1)=2,"Monday",WEEKDAY(C115,1)=3,"Tuesday",WEEKDAY(C115,1)=4,"Wednesday",WEEKDAY(C115,1)=5,"Thursday",WEEKDAY(C115,1)=6,"Friday",WEEKDAY(C115,1)=7,"Saturday")</f>
        <v>Monday</v>
      </c>
      <c r="B115" s="61" t="s">
        <v>391</v>
      </c>
      <c r="C115" s="62">
        <f t="shared" si="10"/>
        <v>44914</v>
      </c>
      <c r="D115" s="62">
        <v>44914</v>
      </c>
      <c r="E115" s="63">
        <v>0.41666666666666669</v>
      </c>
      <c r="F115" s="60" t="s">
        <v>94</v>
      </c>
      <c r="G115" s="60" t="s">
        <v>118</v>
      </c>
      <c r="H115" s="61">
        <v>1</v>
      </c>
      <c r="I115" s="61">
        <v>0</v>
      </c>
      <c r="J115" s="61">
        <v>36</v>
      </c>
      <c r="K115" s="61">
        <v>36</v>
      </c>
      <c r="L115" s="61"/>
      <c r="M115" s="61" t="str" cm="1">
        <f t="array" ref="M115">_xlfn.IFS(WEEKDAY(N115,1)=1,"Sunday",WEEKDAY(N115,1)=2,"Monday",WEEKDAY(N115,1)=3,"Tuesday",WEEKDAY(N115,1)=4,"Wednesday",WEEKDAY(N115,1)=5,"Thursday",WEEKDAY(N115,1)=6,"Friday",WEEKDAY(N115,1)=7,"Saturday")</f>
        <v>Monday</v>
      </c>
      <c r="N115" s="62">
        <v>44914</v>
      </c>
      <c r="O115" s="63">
        <v>0.41666666666666669</v>
      </c>
      <c r="P115" s="60" t="s">
        <v>94</v>
      </c>
      <c r="Q115" s="60" t="s">
        <v>96</v>
      </c>
      <c r="R115" s="60" t="s">
        <v>150</v>
      </c>
      <c r="S115" s="68">
        <v>97.222222222222214</v>
      </c>
      <c r="T115" s="61">
        <v>36</v>
      </c>
      <c r="V115">
        <f t="shared" si="6"/>
        <v>30636</v>
      </c>
      <c r="W115" s="1">
        <f t="shared" si="7"/>
        <v>851</v>
      </c>
      <c r="X115">
        <f t="shared" si="8"/>
        <v>7</v>
      </c>
      <c r="Y115" s="55">
        <f t="shared" si="11"/>
        <v>0.9722222222222221</v>
      </c>
    </row>
    <row r="116" spans="1:25" x14ac:dyDescent="0.25">
      <c r="A116" s="61" t="str" cm="1">
        <f t="array" ref="A116">_xlfn.IFS(WEEKDAY(C116,1)=1,"Sunday",WEEKDAY(C116,1)=2,"Monday",WEEKDAY(C116,1)=3,"Tuesday",WEEKDAY(C116,1)=4,"Wednesday",WEEKDAY(C116,1)=5,"Thursday",WEEKDAY(C116,1)=6,"Friday",WEEKDAY(C116,1)=7,"Saturday")</f>
        <v>Monday</v>
      </c>
      <c r="B116" s="61" t="s">
        <v>391</v>
      </c>
      <c r="C116" s="62">
        <f t="shared" si="10"/>
        <v>44914</v>
      </c>
      <c r="D116" s="62">
        <v>44914</v>
      </c>
      <c r="E116" s="63">
        <v>0.45833333333333331</v>
      </c>
      <c r="F116" s="60" t="s">
        <v>94</v>
      </c>
      <c r="G116" s="60" t="s">
        <v>106</v>
      </c>
      <c r="H116" s="61">
        <v>2</v>
      </c>
      <c r="I116" s="61">
        <v>0</v>
      </c>
      <c r="J116" s="61">
        <v>32</v>
      </c>
      <c r="K116" s="61">
        <v>32</v>
      </c>
      <c r="L116" s="61"/>
      <c r="M116" s="61" t="str" cm="1">
        <f t="array" ref="M116">_xlfn.IFS(WEEKDAY(N116,1)=1,"Sunday",WEEKDAY(N116,1)=2,"Monday",WEEKDAY(N116,1)=3,"Tuesday",WEEKDAY(N116,1)=4,"Wednesday",WEEKDAY(N116,1)=5,"Thursday",WEEKDAY(N116,1)=6,"Friday",WEEKDAY(N116,1)=7,"Saturday")</f>
        <v>Monday</v>
      </c>
      <c r="N116" s="62">
        <v>44914</v>
      </c>
      <c r="O116" s="63">
        <v>0.45833333333333331</v>
      </c>
      <c r="P116" s="60" t="s">
        <v>94</v>
      </c>
      <c r="Q116" s="60" t="s">
        <v>102</v>
      </c>
      <c r="R116" s="60" t="s">
        <v>124</v>
      </c>
      <c r="S116" s="68">
        <v>93.75</v>
      </c>
      <c r="T116" s="61">
        <v>32</v>
      </c>
      <c r="V116">
        <f t="shared" si="6"/>
        <v>30880</v>
      </c>
      <c r="W116" s="1">
        <f t="shared" si="7"/>
        <v>965</v>
      </c>
      <c r="X116">
        <f t="shared" si="8"/>
        <v>10.999999999999998</v>
      </c>
      <c r="Y116" s="55">
        <f t="shared" si="11"/>
        <v>0.9375</v>
      </c>
    </row>
    <row r="117" spans="1:25" x14ac:dyDescent="0.25">
      <c r="A117" s="61" t="str" cm="1">
        <f t="array" ref="A117">_xlfn.IFS(WEEKDAY(C117,1)=1,"Sunday",WEEKDAY(C117,1)=2,"Monday",WEEKDAY(C117,1)=3,"Tuesday",WEEKDAY(C117,1)=4,"Wednesday",WEEKDAY(C117,1)=5,"Thursday",WEEKDAY(C117,1)=6,"Friday",WEEKDAY(C117,1)=7,"Saturday")</f>
        <v>Monday</v>
      </c>
      <c r="B117" s="61" t="s">
        <v>391</v>
      </c>
      <c r="C117" s="62">
        <f t="shared" si="10"/>
        <v>44914</v>
      </c>
      <c r="D117" s="62">
        <v>44914</v>
      </c>
      <c r="E117" s="63">
        <v>0.5</v>
      </c>
      <c r="F117" s="60" t="s">
        <v>95</v>
      </c>
      <c r="G117" s="60" t="s">
        <v>117</v>
      </c>
      <c r="H117" s="61">
        <v>1</v>
      </c>
      <c r="I117" s="61">
        <v>1</v>
      </c>
      <c r="J117" s="61">
        <v>53</v>
      </c>
      <c r="K117" s="61">
        <v>54</v>
      </c>
      <c r="L117" s="61"/>
      <c r="M117" s="61" t="str" cm="1">
        <f t="array" ref="M117">_xlfn.IFS(WEEKDAY(N117,1)=1,"Sunday",WEEKDAY(N117,1)=2,"Monday",WEEKDAY(N117,1)=3,"Tuesday",WEEKDAY(N117,1)=4,"Wednesday",WEEKDAY(N117,1)=5,"Thursday",WEEKDAY(N117,1)=6,"Friday",WEEKDAY(N117,1)=7,"Saturday")</f>
        <v>Monday</v>
      </c>
      <c r="N117" s="62">
        <v>44914</v>
      </c>
      <c r="O117" s="63">
        <v>0.5</v>
      </c>
      <c r="P117" s="60" t="s">
        <v>95</v>
      </c>
      <c r="Q117" s="60" t="s">
        <v>321</v>
      </c>
      <c r="R117" s="60" t="s">
        <v>196</v>
      </c>
      <c r="S117" s="68">
        <v>86.79245283018868</v>
      </c>
      <c r="T117" s="61">
        <v>53</v>
      </c>
      <c r="V117">
        <f t="shared" si="6"/>
        <v>57186</v>
      </c>
      <c r="W117" s="1">
        <f t="shared" si="7"/>
        <v>1059</v>
      </c>
      <c r="X117">
        <f t="shared" si="8"/>
        <v>28.999999999999996</v>
      </c>
      <c r="Y117" s="55">
        <f t="shared" si="11"/>
        <v>0.86792452830188682</v>
      </c>
    </row>
    <row r="118" spans="1:25" x14ac:dyDescent="0.25">
      <c r="A118" s="61" t="str" cm="1">
        <f t="array" ref="A118">_xlfn.IFS(WEEKDAY(C118,1)=1,"Sunday",WEEKDAY(C118,1)=2,"Monday",WEEKDAY(C118,1)=3,"Tuesday",WEEKDAY(C118,1)=4,"Wednesday",WEEKDAY(C118,1)=5,"Thursday",WEEKDAY(C118,1)=6,"Friday",WEEKDAY(C118,1)=7,"Saturday")</f>
        <v>Monday</v>
      </c>
      <c r="B118" s="61" t="s">
        <v>391</v>
      </c>
      <c r="C118" s="62">
        <f t="shared" si="10"/>
        <v>44914</v>
      </c>
      <c r="D118" s="62">
        <v>44914</v>
      </c>
      <c r="E118" s="63">
        <v>4.1666666666666664E-2</v>
      </c>
      <c r="F118" s="60" t="s">
        <v>95</v>
      </c>
      <c r="G118" s="60" t="s">
        <v>149</v>
      </c>
      <c r="H118" s="61">
        <v>0</v>
      </c>
      <c r="I118" s="61">
        <v>0</v>
      </c>
      <c r="J118" s="61">
        <v>31</v>
      </c>
      <c r="K118" s="61">
        <v>31</v>
      </c>
      <c r="L118" s="61"/>
      <c r="M118" s="61" t="str" cm="1">
        <f t="array" ref="M118">_xlfn.IFS(WEEKDAY(N118,1)=1,"Sunday",WEEKDAY(N118,1)=2,"Monday",WEEKDAY(N118,1)=3,"Tuesday",WEEKDAY(N118,1)=4,"Wednesday",WEEKDAY(N118,1)=5,"Thursday",WEEKDAY(N118,1)=6,"Friday",WEEKDAY(N118,1)=7,"Saturday")</f>
        <v>Monday</v>
      </c>
      <c r="N118" s="62">
        <v>44914</v>
      </c>
      <c r="O118" s="63">
        <v>4.1666666666666664E-2</v>
      </c>
      <c r="P118" s="60" t="s">
        <v>95</v>
      </c>
      <c r="Q118" s="60" t="s">
        <v>246</v>
      </c>
      <c r="R118" s="60" t="s">
        <v>128</v>
      </c>
      <c r="S118" s="68">
        <v>100</v>
      </c>
      <c r="T118" s="61">
        <v>31</v>
      </c>
      <c r="V118">
        <f t="shared" si="6"/>
        <v>32798</v>
      </c>
      <c r="W118" s="1">
        <f t="shared" si="7"/>
        <v>1058</v>
      </c>
      <c r="X118">
        <f t="shared" si="8"/>
        <v>5</v>
      </c>
      <c r="Y118" s="55">
        <f t="shared" si="11"/>
        <v>1</v>
      </c>
    </row>
    <row r="119" spans="1:25" x14ac:dyDescent="0.25">
      <c r="A119" s="61" t="str" cm="1">
        <f t="array" ref="A119">_xlfn.IFS(WEEKDAY(C119,1)=1,"Sunday",WEEKDAY(C119,1)=2,"Monday",WEEKDAY(C119,1)=3,"Tuesday",WEEKDAY(C119,1)=4,"Wednesday",WEEKDAY(C119,1)=5,"Thursday",WEEKDAY(C119,1)=6,"Friday",WEEKDAY(C119,1)=7,"Saturday")</f>
        <v>Monday</v>
      </c>
      <c r="B119" s="61" t="s">
        <v>391</v>
      </c>
      <c r="C119" s="62">
        <f t="shared" si="10"/>
        <v>44914</v>
      </c>
      <c r="D119" s="62">
        <v>44914</v>
      </c>
      <c r="E119" s="63">
        <v>8.3333333333333329E-2</v>
      </c>
      <c r="F119" s="60" t="s">
        <v>95</v>
      </c>
      <c r="G119" s="60" t="s">
        <v>92</v>
      </c>
      <c r="H119" s="61">
        <v>3</v>
      </c>
      <c r="I119" s="61">
        <v>0</v>
      </c>
      <c r="J119" s="61">
        <v>27</v>
      </c>
      <c r="K119" s="61">
        <v>27</v>
      </c>
      <c r="L119" s="61"/>
      <c r="M119" s="61" t="str" cm="1">
        <f t="array" ref="M119">_xlfn.IFS(WEEKDAY(N119,1)=1,"Sunday",WEEKDAY(N119,1)=2,"Monday",WEEKDAY(N119,1)=3,"Tuesday",WEEKDAY(N119,1)=4,"Wednesday",WEEKDAY(N119,1)=5,"Thursday",WEEKDAY(N119,1)=6,"Friday",WEEKDAY(N119,1)=7,"Saturday")</f>
        <v>Monday</v>
      </c>
      <c r="N119" s="62">
        <v>44914</v>
      </c>
      <c r="O119" s="63">
        <v>8.3333333333333329E-2</v>
      </c>
      <c r="P119" s="60" t="s">
        <v>95</v>
      </c>
      <c r="Q119" s="60" t="s">
        <v>265</v>
      </c>
      <c r="R119" s="60" t="s">
        <v>138</v>
      </c>
      <c r="S119" s="68">
        <v>88.888888888888886</v>
      </c>
      <c r="T119" s="61">
        <v>27</v>
      </c>
      <c r="V119">
        <f t="shared" si="6"/>
        <v>26082.000000000004</v>
      </c>
      <c r="W119" s="1">
        <f t="shared" si="7"/>
        <v>966.00000000000011</v>
      </c>
      <c r="X119">
        <f t="shared" si="8"/>
        <v>14</v>
      </c>
      <c r="Y119" s="55">
        <f t="shared" si="11"/>
        <v>0.88888888888888884</v>
      </c>
    </row>
    <row r="120" spans="1:25" x14ac:dyDescent="0.25">
      <c r="A120" s="61" t="str" cm="1">
        <f t="array" ref="A120">_xlfn.IFS(WEEKDAY(C120,1)=1,"Sunday",WEEKDAY(C120,1)=2,"Monday",WEEKDAY(C120,1)=3,"Tuesday",WEEKDAY(C120,1)=4,"Wednesday",WEEKDAY(C120,1)=5,"Thursday",WEEKDAY(C120,1)=6,"Friday",WEEKDAY(C120,1)=7,"Saturday")</f>
        <v>Monday</v>
      </c>
      <c r="B120" s="61" t="s">
        <v>391</v>
      </c>
      <c r="C120" s="62">
        <f t="shared" si="10"/>
        <v>44914</v>
      </c>
      <c r="D120" s="62">
        <v>44914</v>
      </c>
      <c r="E120" s="63">
        <v>0.125</v>
      </c>
      <c r="F120" s="60" t="s">
        <v>95</v>
      </c>
      <c r="G120" s="60" t="s">
        <v>118</v>
      </c>
      <c r="H120" s="61">
        <v>0</v>
      </c>
      <c r="I120" s="61">
        <v>0</v>
      </c>
      <c r="J120" s="61">
        <v>27</v>
      </c>
      <c r="K120" s="61">
        <v>27</v>
      </c>
      <c r="L120" s="61"/>
      <c r="M120" s="61" t="str" cm="1">
        <f t="array" ref="M120">_xlfn.IFS(WEEKDAY(N120,1)=1,"Sunday",WEEKDAY(N120,1)=2,"Monday",WEEKDAY(N120,1)=3,"Tuesday",WEEKDAY(N120,1)=4,"Wednesday",WEEKDAY(N120,1)=5,"Thursday",WEEKDAY(N120,1)=6,"Friday",WEEKDAY(N120,1)=7,"Saturday")</f>
        <v>Monday</v>
      </c>
      <c r="N120" s="62">
        <v>44914</v>
      </c>
      <c r="O120" s="63">
        <v>0.125</v>
      </c>
      <c r="P120" s="60" t="s">
        <v>95</v>
      </c>
      <c r="Q120" s="60" t="s">
        <v>268</v>
      </c>
      <c r="R120" s="60" t="s">
        <v>150</v>
      </c>
      <c r="S120" s="68">
        <v>100</v>
      </c>
      <c r="T120" s="61">
        <v>27</v>
      </c>
      <c r="V120">
        <f t="shared" si="6"/>
        <v>26676</v>
      </c>
      <c r="W120" s="1">
        <f t="shared" si="7"/>
        <v>988</v>
      </c>
      <c r="X120">
        <f t="shared" si="8"/>
        <v>7</v>
      </c>
      <c r="Y120" s="55">
        <f t="shared" si="11"/>
        <v>1</v>
      </c>
    </row>
    <row r="121" spans="1:25" x14ac:dyDescent="0.25">
      <c r="A121" s="61" t="str" cm="1">
        <f t="array" ref="A121">_xlfn.IFS(WEEKDAY(C121,1)=1,"Sunday",WEEKDAY(C121,1)=2,"Monday",WEEKDAY(C121,1)=3,"Tuesday",WEEKDAY(C121,1)=4,"Wednesday",WEEKDAY(C121,1)=5,"Thursday",WEEKDAY(C121,1)=6,"Friday",WEEKDAY(C121,1)=7,"Saturday")</f>
        <v>Monday</v>
      </c>
      <c r="B121" s="61" t="s">
        <v>391</v>
      </c>
      <c r="C121" s="62">
        <f t="shared" si="10"/>
        <v>44914</v>
      </c>
      <c r="D121" s="62">
        <v>44914</v>
      </c>
      <c r="E121" s="63">
        <v>0.16666666666666666</v>
      </c>
      <c r="F121" s="60" t="s">
        <v>95</v>
      </c>
      <c r="G121" s="60" t="s">
        <v>111</v>
      </c>
      <c r="H121" s="61">
        <v>1</v>
      </c>
      <c r="I121" s="61">
        <v>0</v>
      </c>
      <c r="J121" s="61">
        <v>18</v>
      </c>
      <c r="K121" s="61">
        <v>18</v>
      </c>
      <c r="L121" s="61"/>
      <c r="M121" s="61" t="str" cm="1">
        <f t="array" ref="M121">_xlfn.IFS(WEEKDAY(N121,1)=1,"Sunday",WEEKDAY(N121,1)=2,"Monday",WEEKDAY(N121,1)=3,"Tuesday",WEEKDAY(N121,1)=4,"Wednesday",WEEKDAY(N121,1)=5,"Thursday",WEEKDAY(N121,1)=6,"Friday",WEEKDAY(N121,1)=7,"Saturday")</f>
        <v>Monday</v>
      </c>
      <c r="N121" s="62">
        <v>44914</v>
      </c>
      <c r="O121" s="63">
        <v>0.16666666666666666</v>
      </c>
      <c r="P121" s="60" t="s">
        <v>95</v>
      </c>
      <c r="Q121" s="60" t="s">
        <v>120</v>
      </c>
      <c r="R121" s="60" t="s">
        <v>164</v>
      </c>
      <c r="S121" s="68">
        <v>94.444444444444443</v>
      </c>
      <c r="T121" s="61">
        <v>18</v>
      </c>
      <c r="V121">
        <f t="shared" si="6"/>
        <v>18414</v>
      </c>
      <c r="W121" s="1">
        <f t="shared" si="7"/>
        <v>1023</v>
      </c>
      <c r="X121">
        <f t="shared" si="8"/>
        <v>16</v>
      </c>
      <c r="Y121" s="55">
        <f t="shared" si="11"/>
        <v>0.94444444444444442</v>
      </c>
    </row>
    <row r="122" spans="1:25" x14ac:dyDescent="0.25">
      <c r="A122" s="61" t="str" cm="1">
        <f t="array" ref="A122">_xlfn.IFS(WEEKDAY(C122,1)=1,"Sunday",WEEKDAY(C122,1)=2,"Monday",WEEKDAY(C122,1)=3,"Tuesday",WEEKDAY(C122,1)=4,"Wednesday",WEEKDAY(C122,1)=5,"Thursday",WEEKDAY(C122,1)=6,"Friday",WEEKDAY(C122,1)=7,"Saturday")</f>
        <v>Tuesday</v>
      </c>
      <c r="B122" s="61" t="s">
        <v>391</v>
      </c>
      <c r="C122" s="62">
        <f t="shared" si="10"/>
        <v>44915</v>
      </c>
      <c r="D122" s="62">
        <v>44915</v>
      </c>
      <c r="E122" s="63">
        <v>0.33333333333333331</v>
      </c>
      <c r="F122" s="60" t="s">
        <v>94</v>
      </c>
      <c r="G122" s="60" t="s">
        <v>164</v>
      </c>
      <c r="H122" s="61">
        <v>2</v>
      </c>
      <c r="I122" s="61">
        <v>0</v>
      </c>
      <c r="J122" s="61">
        <v>11</v>
      </c>
      <c r="K122" s="61">
        <v>11</v>
      </c>
      <c r="L122" s="61"/>
      <c r="M122" s="61" t="str" cm="1">
        <f t="array" ref="M122">_xlfn.IFS(WEEKDAY(N122,1)=1,"Sunday",WEEKDAY(N122,1)=2,"Monday",WEEKDAY(N122,1)=3,"Tuesday",WEEKDAY(N122,1)=4,"Wednesday",WEEKDAY(N122,1)=5,"Thursday",WEEKDAY(N122,1)=6,"Friday",WEEKDAY(N122,1)=7,"Saturday")</f>
        <v>Tuesday</v>
      </c>
      <c r="N122" s="62">
        <v>44915</v>
      </c>
      <c r="O122" s="63">
        <v>0.33333333333333331</v>
      </c>
      <c r="P122" s="60" t="s">
        <v>94</v>
      </c>
      <c r="Q122" s="60" t="s">
        <v>201</v>
      </c>
      <c r="R122" s="60" t="s">
        <v>92</v>
      </c>
      <c r="S122" s="68">
        <v>81.818181818181827</v>
      </c>
      <c r="T122" s="61">
        <v>11</v>
      </c>
      <c r="V122">
        <f t="shared" si="6"/>
        <v>8459</v>
      </c>
      <c r="W122" s="1">
        <f t="shared" si="7"/>
        <v>769</v>
      </c>
      <c r="X122">
        <f t="shared" si="8"/>
        <v>15</v>
      </c>
      <c r="Y122" s="55">
        <f t="shared" si="11"/>
        <v>0.81818181818181823</v>
      </c>
    </row>
    <row r="123" spans="1:25" x14ac:dyDescent="0.25">
      <c r="A123" s="61" t="str" cm="1">
        <f t="array" ref="A123">_xlfn.IFS(WEEKDAY(C123,1)=1,"Sunday",WEEKDAY(C123,1)=2,"Monday",WEEKDAY(C123,1)=3,"Tuesday",WEEKDAY(C123,1)=4,"Wednesday",WEEKDAY(C123,1)=5,"Thursday",WEEKDAY(C123,1)=6,"Friday",WEEKDAY(C123,1)=7,"Saturday")</f>
        <v>Tuesday</v>
      </c>
      <c r="B123" s="61" t="s">
        <v>391</v>
      </c>
      <c r="C123" s="62">
        <f t="shared" si="10"/>
        <v>44915</v>
      </c>
      <c r="D123" s="62">
        <v>44915</v>
      </c>
      <c r="E123" s="63">
        <v>0.375</v>
      </c>
      <c r="F123" s="60" t="s">
        <v>94</v>
      </c>
      <c r="G123" s="60" t="s">
        <v>249</v>
      </c>
      <c r="H123" s="61">
        <v>4</v>
      </c>
      <c r="I123" s="61">
        <v>0</v>
      </c>
      <c r="J123" s="61">
        <v>22</v>
      </c>
      <c r="K123" s="61">
        <v>22</v>
      </c>
      <c r="L123" s="61"/>
      <c r="M123" s="61" t="str" cm="1">
        <f t="array" ref="M123">_xlfn.IFS(WEEKDAY(N123,1)=1,"Sunday",WEEKDAY(N123,1)=2,"Monday",WEEKDAY(N123,1)=3,"Tuesday",WEEKDAY(N123,1)=4,"Wednesday",WEEKDAY(N123,1)=5,"Thursday",WEEKDAY(N123,1)=6,"Friday",WEEKDAY(N123,1)=7,"Saturday")</f>
        <v>Tuesday</v>
      </c>
      <c r="N123" s="62">
        <v>44915</v>
      </c>
      <c r="O123" s="63">
        <v>0.375</v>
      </c>
      <c r="P123" s="60" t="s">
        <v>94</v>
      </c>
      <c r="Q123" s="60" t="s">
        <v>322</v>
      </c>
      <c r="R123" s="60" t="s">
        <v>218</v>
      </c>
      <c r="S123" s="68">
        <v>68.181818181818173</v>
      </c>
      <c r="T123" s="61">
        <v>22</v>
      </c>
      <c r="V123">
        <f t="shared" si="6"/>
        <v>23980</v>
      </c>
      <c r="W123" s="1">
        <f t="shared" si="7"/>
        <v>1090</v>
      </c>
      <c r="X123">
        <f t="shared" si="8"/>
        <v>62.000000000000007</v>
      </c>
      <c r="Y123" s="55">
        <f t="shared" si="11"/>
        <v>0.68181818181818177</v>
      </c>
    </row>
    <row r="124" spans="1:25" x14ac:dyDescent="0.25">
      <c r="A124" s="61" t="str" cm="1">
        <f t="array" ref="A124">_xlfn.IFS(WEEKDAY(C124,1)=1,"Sunday",WEEKDAY(C124,1)=2,"Monday",WEEKDAY(C124,1)=3,"Tuesday",WEEKDAY(C124,1)=4,"Wednesday",WEEKDAY(C124,1)=5,"Thursday",WEEKDAY(C124,1)=6,"Friday",WEEKDAY(C124,1)=7,"Saturday")</f>
        <v>Tuesday</v>
      </c>
      <c r="B124" s="61" t="s">
        <v>391</v>
      </c>
      <c r="C124" s="62">
        <f t="shared" si="10"/>
        <v>44915</v>
      </c>
      <c r="D124" s="62">
        <v>44915</v>
      </c>
      <c r="E124" s="63">
        <v>0.41666666666666669</v>
      </c>
      <c r="F124" s="60" t="s">
        <v>94</v>
      </c>
      <c r="G124" s="60" t="s">
        <v>113</v>
      </c>
      <c r="H124" s="61">
        <v>3</v>
      </c>
      <c r="I124" s="61">
        <v>0</v>
      </c>
      <c r="J124" s="61">
        <v>47</v>
      </c>
      <c r="K124" s="61">
        <v>47</v>
      </c>
      <c r="L124" s="61"/>
      <c r="M124" s="61" t="str" cm="1">
        <f t="array" ref="M124">_xlfn.IFS(WEEKDAY(N124,1)=1,"Sunday",WEEKDAY(N124,1)=2,"Monday",WEEKDAY(N124,1)=3,"Tuesday",WEEKDAY(N124,1)=4,"Wednesday",WEEKDAY(N124,1)=5,"Thursday",WEEKDAY(N124,1)=6,"Friday",WEEKDAY(N124,1)=7,"Saturday")</f>
        <v>Tuesday</v>
      </c>
      <c r="N124" s="62">
        <v>44915</v>
      </c>
      <c r="O124" s="63">
        <v>0.41666666666666669</v>
      </c>
      <c r="P124" s="60" t="s">
        <v>94</v>
      </c>
      <c r="Q124" s="60" t="s">
        <v>213</v>
      </c>
      <c r="R124" s="60" t="s">
        <v>119</v>
      </c>
      <c r="S124" s="68">
        <v>93.61702127659575</v>
      </c>
      <c r="T124" s="61">
        <v>47</v>
      </c>
      <c r="V124">
        <f t="shared" si="6"/>
        <v>43757.000000000007</v>
      </c>
      <c r="W124" s="1">
        <f t="shared" si="7"/>
        <v>931.00000000000011</v>
      </c>
      <c r="X124">
        <f t="shared" si="8"/>
        <v>9</v>
      </c>
      <c r="Y124" s="55">
        <f t="shared" si="11"/>
        <v>0.93617021276595747</v>
      </c>
    </row>
    <row r="125" spans="1:25" x14ac:dyDescent="0.25">
      <c r="A125" s="61" t="str" cm="1">
        <f t="array" ref="A125">_xlfn.IFS(WEEKDAY(C125,1)=1,"Sunday",WEEKDAY(C125,1)=2,"Monday",WEEKDAY(C125,1)=3,"Tuesday",WEEKDAY(C125,1)=4,"Wednesday",WEEKDAY(C125,1)=5,"Thursday",WEEKDAY(C125,1)=6,"Friday",WEEKDAY(C125,1)=7,"Saturday")</f>
        <v>Tuesday</v>
      </c>
      <c r="B125" s="61" t="s">
        <v>391</v>
      </c>
      <c r="C125" s="62">
        <f t="shared" si="10"/>
        <v>44915</v>
      </c>
      <c r="D125" s="62">
        <v>44915</v>
      </c>
      <c r="E125" s="63">
        <v>0.45833333333333331</v>
      </c>
      <c r="F125" s="60" t="s">
        <v>94</v>
      </c>
      <c r="G125" s="60" t="s">
        <v>119</v>
      </c>
      <c r="H125" s="61">
        <v>2</v>
      </c>
      <c r="I125" s="61">
        <v>0</v>
      </c>
      <c r="J125" s="61">
        <v>34</v>
      </c>
      <c r="K125" s="61">
        <v>34</v>
      </c>
      <c r="L125" s="61"/>
      <c r="M125" s="61" t="str" cm="1">
        <f t="array" ref="M125">_xlfn.IFS(WEEKDAY(N125,1)=1,"Sunday",WEEKDAY(N125,1)=2,"Monday",WEEKDAY(N125,1)=3,"Tuesday",WEEKDAY(N125,1)=4,"Wednesday",WEEKDAY(N125,1)=5,"Thursday",WEEKDAY(N125,1)=6,"Friday",WEEKDAY(N125,1)=7,"Saturday")</f>
        <v>Tuesday</v>
      </c>
      <c r="N125" s="62">
        <v>44915</v>
      </c>
      <c r="O125" s="63">
        <v>0.45833333333333331</v>
      </c>
      <c r="P125" s="60" t="s">
        <v>94</v>
      </c>
      <c r="Q125" s="60" t="s">
        <v>88</v>
      </c>
      <c r="R125" s="60" t="s">
        <v>118</v>
      </c>
      <c r="S125" s="68">
        <v>94.117647058823522</v>
      </c>
      <c r="T125" s="61">
        <v>34</v>
      </c>
      <c r="V125">
        <f t="shared" si="6"/>
        <v>30396.000000000004</v>
      </c>
      <c r="W125" s="1">
        <f t="shared" si="7"/>
        <v>894.00000000000011</v>
      </c>
      <c r="X125">
        <f t="shared" si="8"/>
        <v>8</v>
      </c>
      <c r="Y125" s="55">
        <f t="shared" si="11"/>
        <v>0.94117647058823517</v>
      </c>
    </row>
    <row r="126" spans="1:25" x14ac:dyDescent="0.25">
      <c r="A126" s="61" t="str" cm="1">
        <f t="array" ref="A126">_xlfn.IFS(WEEKDAY(C126,1)=1,"Sunday",WEEKDAY(C126,1)=2,"Monday",WEEKDAY(C126,1)=3,"Tuesday",WEEKDAY(C126,1)=4,"Wednesday",WEEKDAY(C126,1)=5,"Thursday",WEEKDAY(C126,1)=6,"Friday",WEEKDAY(C126,1)=7,"Saturday")</f>
        <v>Tuesday</v>
      </c>
      <c r="B126" s="61" t="s">
        <v>391</v>
      </c>
      <c r="C126" s="62">
        <f t="shared" si="10"/>
        <v>44915</v>
      </c>
      <c r="D126" s="62">
        <v>44915</v>
      </c>
      <c r="E126" s="63">
        <v>0.5</v>
      </c>
      <c r="F126" s="60" t="s">
        <v>95</v>
      </c>
      <c r="G126" s="60" t="s">
        <v>119</v>
      </c>
      <c r="H126" s="61">
        <v>2</v>
      </c>
      <c r="I126" s="61">
        <v>0</v>
      </c>
      <c r="J126" s="61">
        <v>33</v>
      </c>
      <c r="K126" s="61">
        <v>33</v>
      </c>
      <c r="L126" s="61"/>
      <c r="M126" s="61" t="str" cm="1">
        <f t="array" ref="M126">_xlfn.IFS(WEEKDAY(N126,1)=1,"Sunday",WEEKDAY(N126,1)=2,"Monday",WEEKDAY(N126,1)=3,"Tuesday",WEEKDAY(N126,1)=4,"Wednesday",WEEKDAY(N126,1)=5,"Thursday",WEEKDAY(N126,1)=6,"Friday",WEEKDAY(N126,1)=7,"Saturday")</f>
        <v>Tuesday</v>
      </c>
      <c r="N126" s="62">
        <v>44915</v>
      </c>
      <c r="O126" s="63">
        <v>0.5</v>
      </c>
      <c r="P126" s="60" t="s">
        <v>95</v>
      </c>
      <c r="Q126" s="60" t="s">
        <v>145</v>
      </c>
      <c r="R126" s="60" t="s">
        <v>118</v>
      </c>
      <c r="S126" s="68">
        <v>96.969696969696969</v>
      </c>
      <c r="T126" s="61">
        <v>33</v>
      </c>
      <c r="V126">
        <f t="shared" si="6"/>
        <v>30524.999999999996</v>
      </c>
      <c r="W126" s="1">
        <f t="shared" si="7"/>
        <v>924.99999999999989</v>
      </c>
      <c r="X126">
        <f t="shared" si="8"/>
        <v>8</v>
      </c>
      <c r="Y126" s="55">
        <f t="shared" si="11"/>
        <v>0.96969696969696972</v>
      </c>
    </row>
    <row r="127" spans="1:25" x14ac:dyDescent="0.25">
      <c r="A127" s="61" t="str" cm="1">
        <f t="array" ref="A127">_xlfn.IFS(WEEKDAY(C127,1)=1,"Sunday",WEEKDAY(C127,1)=2,"Monday",WEEKDAY(C127,1)=3,"Tuesday",WEEKDAY(C127,1)=4,"Wednesday",WEEKDAY(C127,1)=5,"Thursday",WEEKDAY(C127,1)=6,"Friday",WEEKDAY(C127,1)=7,"Saturday")</f>
        <v>Tuesday</v>
      </c>
      <c r="B127" s="61" t="s">
        <v>391</v>
      </c>
      <c r="C127" s="62">
        <f t="shared" si="10"/>
        <v>44915</v>
      </c>
      <c r="D127" s="62">
        <v>44915</v>
      </c>
      <c r="E127" s="63">
        <v>4.1666666666666664E-2</v>
      </c>
      <c r="F127" s="60" t="s">
        <v>95</v>
      </c>
      <c r="G127" s="60" t="s">
        <v>149</v>
      </c>
      <c r="H127" s="61">
        <v>0</v>
      </c>
      <c r="I127" s="61">
        <v>0</v>
      </c>
      <c r="J127" s="61">
        <v>30</v>
      </c>
      <c r="K127" s="61">
        <v>30</v>
      </c>
      <c r="L127" s="61"/>
      <c r="M127" s="61" t="str" cm="1">
        <f t="array" ref="M127">_xlfn.IFS(WEEKDAY(N127,1)=1,"Sunday",WEEKDAY(N127,1)=2,"Monday",WEEKDAY(N127,1)=3,"Tuesday",WEEKDAY(N127,1)=4,"Wednesday",WEEKDAY(N127,1)=5,"Thursday",WEEKDAY(N127,1)=6,"Friday",WEEKDAY(N127,1)=7,"Saturday")</f>
        <v>Tuesday</v>
      </c>
      <c r="N127" s="62">
        <v>44915</v>
      </c>
      <c r="O127" s="63">
        <v>4.1666666666666664E-2</v>
      </c>
      <c r="P127" s="60" t="s">
        <v>95</v>
      </c>
      <c r="Q127" s="60" t="s">
        <v>144</v>
      </c>
      <c r="R127" s="60" t="s">
        <v>128</v>
      </c>
      <c r="S127" s="68">
        <v>100</v>
      </c>
      <c r="T127" s="61">
        <v>30</v>
      </c>
      <c r="V127">
        <f t="shared" si="6"/>
        <v>21240.000000000004</v>
      </c>
      <c r="W127" s="1">
        <f t="shared" si="7"/>
        <v>708.00000000000011</v>
      </c>
      <c r="X127">
        <f t="shared" si="8"/>
        <v>5</v>
      </c>
      <c r="Y127" s="55">
        <f t="shared" si="11"/>
        <v>1</v>
      </c>
    </row>
    <row r="128" spans="1:25" x14ac:dyDescent="0.25">
      <c r="A128" s="61" t="str" cm="1">
        <f t="array" ref="A128">_xlfn.IFS(WEEKDAY(C128,1)=1,"Sunday",WEEKDAY(C128,1)=2,"Monday",WEEKDAY(C128,1)=3,"Tuesday",WEEKDAY(C128,1)=4,"Wednesday",WEEKDAY(C128,1)=5,"Thursday",WEEKDAY(C128,1)=6,"Friday",WEEKDAY(C128,1)=7,"Saturday")</f>
        <v>Tuesday</v>
      </c>
      <c r="B128" s="61" t="s">
        <v>391</v>
      </c>
      <c r="C128" s="62">
        <f t="shared" si="10"/>
        <v>44915</v>
      </c>
      <c r="D128" s="62">
        <v>44915</v>
      </c>
      <c r="E128" s="63">
        <v>8.3333333333333329E-2</v>
      </c>
      <c r="F128" s="60" t="s">
        <v>95</v>
      </c>
      <c r="G128" s="60" t="s">
        <v>183</v>
      </c>
      <c r="H128" s="61">
        <v>3</v>
      </c>
      <c r="I128" s="61">
        <v>3</v>
      </c>
      <c r="J128" s="61">
        <v>47</v>
      </c>
      <c r="K128" s="61">
        <v>50</v>
      </c>
      <c r="L128" s="61"/>
      <c r="M128" s="61" t="str" cm="1">
        <f t="array" ref="M128">_xlfn.IFS(WEEKDAY(N128,1)=1,"Sunday",WEEKDAY(N128,1)=2,"Monday",WEEKDAY(N128,1)=3,"Tuesday",WEEKDAY(N128,1)=4,"Wednesday",WEEKDAY(N128,1)=5,"Thursday",WEEKDAY(N128,1)=6,"Friday",WEEKDAY(N128,1)=7,"Saturday")</f>
        <v>Tuesday</v>
      </c>
      <c r="N128" s="62">
        <v>44915</v>
      </c>
      <c r="O128" s="63">
        <v>8.3333333333333329E-2</v>
      </c>
      <c r="P128" s="60" t="s">
        <v>95</v>
      </c>
      <c r="Q128" s="60" t="s">
        <v>237</v>
      </c>
      <c r="R128" s="60" t="s">
        <v>323</v>
      </c>
      <c r="S128" s="68">
        <v>57.446808510638306</v>
      </c>
      <c r="T128" s="61">
        <v>47</v>
      </c>
      <c r="V128">
        <f t="shared" si="6"/>
        <v>47350</v>
      </c>
      <c r="W128" s="1">
        <f t="shared" si="7"/>
        <v>947</v>
      </c>
      <c r="X128">
        <f t="shared" si="8"/>
        <v>304</v>
      </c>
      <c r="Y128" s="55">
        <f t="shared" si="11"/>
        <v>0.57446808510638303</v>
      </c>
    </row>
    <row r="129" spans="1:25" x14ac:dyDescent="0.25">
      <c r="A129" s="61" t="str" cm="1">
        <f t="array" ref="A129">_xlfn.IFS(WEEKDAY(C129,1)=1,"Sunday",WEEKDAY(C129,1)=2,"Monday",WEEKDAY(C129,1)=3,"Tuesday",WEEKDAY(C129,1)=4,"Wednesday",WEEKDAY(C129,1)=5,"Thursday",WEEKDAY(C129,1)=6,"Friday",WEEKDAY(C129,1)=7,"Saturday")</f>
        <v>Tuesday</v>
      </c>
      <c r="B129" s="61" t="s">
        <v>391</v>
      </c>
      <c r="C129" s="62">
        <f t="shared" si="10"/>
        <v>44915</v>
      </c>
      <c r="D129" s="62">
        <v>44915</v>
      </c>
      <c r="E129" s="63">
        <v>0.125</v>
      </c>
      <c r="F129" s="60" t="s">
        <v>95</v>
      </c>
      <c r="G129" s="60" t="s">
        <v>363</v>
      </c>
      <c r="H129" s="61">
        <v>1</v>
      </c>
      <c r="I129" s="61">
        <v>0</v>
      </c>
      <c r="J129" s="61">
        <v>33</v>
      </c>
      <c r="K129" s="61">
        <v>33</v>
      </c>
      <c r="L129" s="61"/>
      <c r="M129" s="61" t="str" cm="1">
        <f t="array" ref="M129">_xlfn.IFS(WEEKDAY(N129,1)=1,"Sunday",WEEKDAY(N129,1)=2,"Monday",WEEKDAY(N129,1)=3,"Tuesday",WEEKDAY(N129,1)=4,"Wednesday",WEEKDAY(N129,1)=5,"Thursday",WEEKDAY(N129,1)=6,"Friday",WEEKDAY(N129,1)=7,"Saturday")</f>
        <v>Tuesday</v>
      </c>
      <c r="N129" s="62">
        <v>44915</v>
      </c>
      <c r="O129" s="63">
        <v>0.125</v>
      </c>
      <c r="P129" s="60" t="s">
        <v>95</v>
      </c>
      <c r="Q129" s="60" t="s">
        <v>208</v>
      </c>
      <c r="R129" s="60" t="s">
        <v>324</v>
      </c>
      <c r="S129" s="68">
        <v>36.363636363636367</v>
      </c>
      <c r="T129" s="61">
        <v>33</v>
      </c>
      <c r="V129">
        <f t="shared" si="6"/>
        <v>24222</v>
      </c>
      <c r="W129" s="1">
        <f t="shared" si="7"/>
        <v>734</v>
      </c>
      <c r="X129">
        <f t="shared" si="8"/>
        <v>253.00000000000006</v>
      </c>
      <c r="Y129" s="55">
        <f t="shared" si="11"/>
        <v>0.36363636363636365</v>
      </c>
    </row>
    <row r="130" spans="1:25" x14ac:dyDescent="0.25">
      <c r="A130" s="61" t="str" cm="1">
        <f t="array" ref="A130">_xlfn.IFS(WEEKDAY(C130,1)=1,"Sunday",WEEKDAY(C130,1)=2,"Monday",WEEKDAY(C130,1)=3,"Tuesday",WEEKDAY(C130,1)=4,"Wednesday",WEEKDAY(C130,1)=5,"Thursday",WEEKDAY(C130,1)=6,"Friday",WEEKDAY(C130,1)=7,"Saturday")</f>
        <v>Tuesday</v>
      </c>
      <c r="B130" s="61" t="s">
        <v>391</v>
      </c>
      <c r="C130" s="62">
        <f t="shared" si="10"/>
        <v>44915</v>
      </c>
      <c r="D130" s="62">
        <v>44915</v>
      </c>
      <c r="E130" s="63">
        <v>0.16666666666666666</v>
      </c>
      <c r="F130" s="60" t="s">
        <v>95</v>
      </c>
      <c r="G130" s="60" t="s">
        <v>118</v>
      </c>
      <c r="H130" s="61">
        <v>1</v>
      </c>
      <c r="I130" s="61">
        <v>0</v>
      </c>
      <c r="J130" s="61">
        <v>27</v>
      </c>
      <c r="K130" s="61">
        <v>28</v>
      </c>
      <c r="L130" s="61"/>
      <c r="M130" s="61" t="str" cm="1">
        <f t="array" ref="M130">_xlfn.IFS(WEEKDAY(N130,1)=1,"Sunday",WEEKDAY(N130,1)=2,"Monday",WEEKDAY(N130,1)=3,"Tuesday",WEEKDAY(N130,1)=4,"Wednesday",WEEKDAY(N130,1)=5,"Thursday",WEEKDAY(N130,1)=6,"Friday",WEEKDAY(N130,1)=7,"Saturday")</f>
        <v>Tuesday</v>
      </c>
      <c r="N130" s="62">
        <v>44915</v>
      </c>
      <c r="O130" s="63">
        <v>0.16666666666666666</v>
      </c>
      <c r="P130" s="60" t="s">
        <v>95</v>
      </c>
      <c r="Q130" s="60" t="s">
        <v>112</v>
      </c>
      <c r="R130" s="60" t="s">
        <v>150</v>
      </c>
      <c r="S130" s="68">
        <v>96.296296296296291</v>
      </c>
      <c r="T130" s="61">
        <v>27</v>
      </c>
      <c r="V130">
        <f t="shared" ref="V130:V193" si="12">W130*K130</f>
        <v>23744</v>
      </c>
      <c r="W130" s="1">
        <f t="shared" ref="W130:W193" si="13">CONVERT(Q130,"day","sec")</f>
        <v>848</v>
      </c>
      <c r="X130">
        <f t="shared" ref="X130:X193" si="14">CONVERT(R130,"day","sec")</f>
        <v>7</v>
      </c>
      <c r="Y130" s="55">
        <f t="shared" ref="Y130:Y161" si="15">S130/100</f>
        <v>0.96296296296296291</v>
      </c>
    </row>
    <row r="131" spans="1:25" x14ac:dyDescent="0.25">
      <c r="A131" s="61" t="str" cm="1">
        <f t="array" ref="A131">_xlfn.IFS(WEEKDAY(C131,1)=1,"Sunday",WEEKDAY(C131,1)=2,"Monday",WEEKDAY(C131,1)=3,"Tuesday",WEEKDAY(C131,1)=4,"Wednesday",WEEKDAY(C131,1)=5,"Thursday",WEEKDAY(C131,1)=6,"Friday",WEEKDAY(C131,1)=7,"Saturday")</f>
        <v>Wednesday</v>
      </c>
      <c r="B131" s="61" t="s">
        <v>391</v>
      </c>
      <c r="C131" s="62">
        <f t="shared" ref="C131:C194" si="16">D131</f>
        <v>44916</v>
      </c>
      <c r="D131" s="62">
        <v>44916</v>
      </c>
      <c r="E131" s="63">
        <v>0.33333333333333331</v>
      </c>
      <c r="F131" s="60" t="s">
        <v>94</v>
      </c>
      <c r="G131" s="60" t="s">
        <v>364</v>
      </c>
      <c r="H131" s="61">
        <v>0</v>
      </c>
      <c r="I131" s="61">
        <v>1</v>
      </c>
      <c r="J131" s="61">
        <v>11</v>
      </c>
      <c r="K131" s="61">
        <v>12</v>
      </c>
      <c r="L131" s="61"/>
      <c r="M131" s="61" t="str" cm="1">
        <f t="array" ref="M131">_xlfn.IFS(WEEKDAY(N131,1)=1,"Sunday",WEEKDAY(N131,1)=2,"Monday",WEEKDAY(N131,1)=3,"Tuesday",WEEKDAY(N131,1)=4,"Wednesday",WEEKDAY(N131,1)=5,"Thursday",WEEKDAY(N131,1)=6,"Friday",WEEKDAY(N131,1)=7,"Saturday")</f>
        <v>Wednesday</v>
      </c>
      <c r="N131" s="62">
        <v>44916</v>
      </c>
      <c r="O131" s="63">
        <v>0.33333333333333331</v>
      </c>
      <c r="P131" s="60" t="s">
        <v>94</v>
      </c>
      <c r="Q131" s="60" t="s">
        <v>78</v>
      </c>
      <c r="R131" s="60" t="s">
        <v>325</v>
      </c>
      <c r="S131" s="68">
        <v>54.54545454545454</v>
      </c>
      <c r="T131" s="61">
        <v>11</v>
      </c>
      <c r="V131">
        <f t="shared" si="12"/>
        <v>8039.9999999999982</v>
      </c>
      <c r="W131" s="1">
        <f t="shared" si="13"/>
        <v>669.99999999999989</v>
      </c>
      <c r="X131">
        <f t="shared" si="14"/>
        <v>228.99999999999997</v>
      </c>
      <c r="Y131" s="55">
        <f t="shared" si="15"/>
        <v>0.54545454545454541</v>
      </c>
    </row>
    <row r="132" spans="1:25" x14ac:dyDescent="0.25">
      <c r="A132" s="61" t="str" cm="1">
        <f t="array" ref="A132">_xlfn.IFS(WEEKDAY(C132,1)=1,"Sunday",WEEKDAY(C132,1)=2,"Monday",WEEKDAY(C132,1)=3,"Tuesday",WEEKDAY(C132,1)=4,"Wednesday",WEEKDAY(C132,1)=5,"Thursday",WEEKDAY(C132,1)=6,"Friday",WEEKDAY(C132,1)=7,"Saturday")</f>
        <v>Wednesday</v>
      </c>
      <c r="B132" s="61" t="s">
        <v>391</v>
      </c>
      <c r="C132" s="62">
        <f t="shared" si="16"/>
        <v>44916</v>
      </c>
      <c r="D132" s="62">
        <v>44916</v>
      </c>
      <c r="E132" s="63">
        <v>0.375</v>
      </c>
      <c r="F132" s="60" t="s">
        <v>94</v>
      </c>
      <c r="G132" s="60" t="s">
        <v>118</v>
      </c>
      <c r="H132" s="61">
        <v>1</v>
      </c>
      <c r="I132" s="61">
        <v>0</v>
      </c>
      <c r="J132" s="61">
        <v>31</v>
      </c>
      <c r="K132" s="61">
        <v>31</v>
      </c>
      <c r="L132" s="61"/>
      <c r="M132" s="61" t="str" cm="1">
        <f t="array" ref="M132">_xlfn.IFS(WEEKDAY(N132,1)=1,"Sunday",WEEKDAY(N132,1)=2,"Monday",WEEKDAY(N132,1)=3,"Tuesday",WEEKDAY(N132,1)=4,"Wednesday",WEEKDAY(N132,1)=5,"Thursday",WEEKDAY(N132,1)=6,"Friday",WEEKDAY(N132,1)=7,"Saturday")</f>
        <v>Wednesday</v>
      </c>
      <c r="N132" s="62">
        <v>44916</v>
      </c>
      <c r="O132" s="63">
        <v>0.375</v>
      </c>
      <c r="P132" s="60" t="s">
        <v>94</v>
      </c>
      <c r="Q132" s="60" t="s">
        <v>154</v>
      </c>
      <c r="R132" s="60" t="s">
        <v>150</v>
      </c>
      <c r="S132" s="68">
        <v>96.774193548387103</v>
      </c>
      <c r="T132" s="61">
        <v>31</v>
      </c>
      <c r="V132">
        <f t="shared" si="12"/>
        <v>32612.000000000007</v>
      </c>
      <c r="W132" s="1">
        <f t="shared" si="13"/>
        <v>1052.0000000000002</v>
      </c>
      <c r="X132">
        <f t="shared" si="14"/>
        <v>7</v>
      </c>
      <c r="Y132" s="55">
        <f t="shared" si="15"/>
        <v>0.967741935483871</v>
      </c>
    </row>
    <row r="133" spans="1:25" x14ac:dyDescent="0.25">
      <c r="A133" s="61" t="str" cm="1">
        <f t="array" ref="A133">_xlfn.IFS(WEEKDAY(C133,1)=1,"Sunday",WEEKDAY(C133,1)=2,"Monday",WEEKDAY(C133,1)=3,"Tuesday",WEEKDAY(C133,1)=4,"Wednesday",WEEKDAY(C133,1)=5,"Thursday",WEEKDAY(C133,1)=6,"Friday",WEEKDAY(C133,1)=7,"Saturday")</f>
        <v>Wednesday</v>
      </c>
      <c r="B133" s="61" t="s">
        <v>391</v>
      </c>
      <c r="C133" s="62">
        <f t="shared" si="16"/>
        <v>44916</v>
      </c>
      <c r="D133" s="62">
        <v>44916</v>
      </c>
      <c r="E133" s="63">
        <v>0.41666666666666669</v>
      </c>
      <c r="F133" s="60" t="s">
        <v>94</v>
      </c>
      <c r="G133" s="60" t="s">
        <v>124</v>
      </c>
      <c r="H133" s="61">
        <v>1</v>
      </c>
      <c r="I133" s="61">
        <v>0</v>
      </c>
      <c r="J133" s="61">
        <v>24</v>
      </c>
      <c r="K133" s="61">
        <v>24</v>
      </c>
      <c r="L133" s="61"/>
      <c r="M133" s="61" t="str" cm="1">
        <f t="array" ref="M133">_xlfn.IFS(WEEKDAY(N133,1)=1,"Sunday",WEEKDAY(N133,1)=2,"Monday",WEEKDAY(N133,1)=3,"Tuesday",WEEKDAY(N133,1)=4,"Wednesday",WEEKDAY(N133,1)=5,"Thursday",WEEKDAY(N133,1)=6,"Friday",WEEKDAY(N133,1)=7,"Saturday")</f>
        <v>Wednesday</v>
      </c>
      <c r="N133" s="62">
        <v>44916</v>
      </c>
      <c r="O133" s="63">
        <v>0.41666666666666669</v>
      </c>
      <c r="P133" s="60" t="s">
        <v>94</v>
      </c>
      <c r="Q133" s="60" t="s">
        <v>116</v>
      </c>
      <c r="R133" s="60" t="s">
        <v>113</v>
      </c>
      <c r="S133" s="68">
        <v>95.833333333333343</v>
      </c>
      <c r="T133" s="61">
        <v>24</v>
      </c>
      <c r="V133">
        <f t="shared" si="12"/>
        <v>23040</v>
      </c>
      <c r="W133" s="1">
        <f t="shared" si="13"/>
        <v>960</v>
      </c>
      <c r="X133">
        <f t="shared" si="14"/>
        <v>10</v>
      </c>
      <c r="Y133" s="55">
        <f t="shared" si="15"/>
        <v>0.95833333333333348</v>
      </c>
    </row>
    <row r="134" spans="1:25" x14ac:dyDescent="0.25">
      <c r="A134" s="61" t="str" cm="1">
        <f t="array" ref="A134">_xlfn.IFS(WEEKDAY(C134,1)=1,"Sunday",WEEKDAY(C134,1)=2,"Monday",WEEKDAY(C134,1)=3,"Tuesday",WEEKDAY(C134,1)=4,"Wednesday",WEEKDAY(C134,1)=5,"Thursday",WEEKDAY(C134,1)=6,"Friday",WEEKDAY(C134,1)=7,"Saturday")</f>
        <v>Wednesday</v>
      </c>
      <c r="B134" s="61" t="s">
        <v>391</v>
      </c>
      <c r="C134" s="62">
        <f t="shared" si="16"/>
        <v>44916</v>
      </c>
      <c r="D134" s="62">
        <v>44916</v>
      </c>
      <c r="E134" s="63">
        <v>0.45833333333333331</v>
      </c>
      <c r="F134" s="60" t="s">
        <v>94</v>
      </c>
      <c r="G134" s="60" t="s">
        <v>138</v>
      </c>
      <c r="H134" s="61">
        <v>4</v>
      </c>
      <c r="I134" s="61">
        <v>0</v>
      </c>
      <c r="J134" s="61">
        <v>32</v>
      </c>
      <c r="K134" s="61">
        <v>32</v>
      </c>
      <c r="L134" s="61"/>
      <c r="M134" s="61" t="str" cm="1">
        <f t="array" ref="M134">_xlfn.IFS(WEEKDAY(N134,1)=1,"Sunday",WEEKDAY(N134,1)=2,"Monday",WEEKDAY(N134,1)=3,"Tuesday",WEEKDAY(N134,1)=4,"Wednesday",WEEKDAY(N134,1)=5,"Thursday",WEEKDAY(N134,1)=6,"Friday",WEEKDAY(N134,1)=7,"Saturday")</f>
        <v>Wednesday</v>
      </c>
      <c r="N134" s="62">
        <v>44916</v>
      </c>
      <c r="O134" s="63">
        <v>0.45833333333333331</v>
      </c>
      <c r="P134" s="60" t="s">
        <v>94</v>
      </c>
      <c r="Q134" s="60" t="s">
        <v>326</v>
      </c>
      <c r="R134" s="60" t="s">
        <v>125</v>
      </c>
      <c r="S134" s="68">
        <v>87.5</v>
      </c>
      <c r="T134" s="61">
        <v>32</v>
      </c>
      <c r="V134">
        <f t="shared" si="12"/>
        <v>31712</v>
      </c>
      <c r="W134" s="1">
        <f t="shared" si="13"/>
        <v>991</v>
      </c>
      <c r="X134">
        <f t="shared" si="14"/>
        <v>13.000000000000002</v>
      </c>
      <c r="Y134" s="55">
        <f t="shared" si="15"/>
        <v>0.875</v>
      </c>
    </row>
    <row r="135" spans="1:25" x14ac:dyDescent="0.25">
      <c r="A135" s="61" t="str" cm="1">
        <f t="array" ref="A135">_xlfn.IFS(WEEKDAY(C135,1)=1,"Sunday",WEEKDAY(C135,1)=2,"Monday",WEEKDAY(C135,1)=3,"Tuesday",WEEKDAY(C135,1)=4,"Wednesday",WEEKDAY(C135,1)=5,"Thursday",WEEKDAY(C135,1)=6,"Friday",WEEKDAY(C135,1)=7,"Saturday")</f>
        <v>Wednesday</v>
      </c>
      <c r="B135" s="61" t="s">
        <v>391</v>
      </c>
      <c r="C135" s="62">
        <f t="shared" si="16"/>
        <v>44916</v>
      </c>
      <c r="D135" s="62">
        <v>44916</v>
      </c>
      <c r="E135" s="63">
        <v>0.5</v>
      </c>
      <c r="F135" s="60" t="s">
        <v>95</v>
      </c>
      <c r="G135" s="60" t="s">
        <v>106</v>
      </c>
      <c r="H135" s="61">
        <v>3</v>
      </c>
      <c r="I135" s="61">
        <v>0</v>
      </c>
      <c r="J135" s="61">
        <v>26</v>
      </c>
      <c r="K135" s="61">
        <v>26</v>
      </c>
      <c r="L135" s="61"/>
      <c r="M135" s="61" t="str" cm="1">
        <f t="array" ref="M135">_xlfn.IFS(WEEKDAY(N135,1)=1,"Sunday",WEEKDAY(N135,1)=2,"Monday",WEEKDAY(N135,1)=3,"Tuesday",WEEKDAY(N135,1)=4,"Wednesday",WEEKDAY(N135,1)=5,"Thursday",WEEKDAY(N135,1)=6,"Friday",WEEKDAY(N135,1)=7,"Saturday")</f>
        <v>Wednesday</v>
      </c>
      <c r="N135" s="62">
        <v>44916</v>
      </c>
      <c r="O135" s="63">
        <v>0.5</v>
      </c>
      <c r="P135" s="60" t="s">
        <v>95</v>
      </c>
      <c r="Q135" s="60" t="s">
        <v>259</v>
      </c>
      <c r="R135" s="60" t="s">
        <v>124</v>
      </c>
      <c r="S135" s="68">
        <v>92.307692307692307</v>
      </c>
      <c r="T135" s="61">
        <v>26</v>
      </c>
      <c r="V135">
        <f t="shared" si="12"/>
        <v>22958.000000000004</v>
      </c>
      <c r="W135" s="1">
        <f t="shared" si="13"/>
        <v>883.00000000000011</v>
      </c>
      <c r="X135">
        <f t="shared" si="14"/>
        <v>10.999999999999998</v>
      </c>
      <c r="Y135" s="55">
        <f t="shared" si="15"/>
        <v>0.92307692307692302</v>
      </c>
    </row>
    <row r="136" spans="1:25" x14ac:dyDescent="0.25">
      <c r="A136" s="61" t="str" cm="1">
        <f t="array" ref="A136">_xlfn.IFS(WEEKDAY(C136,1)=1,"Sunday",WEEKDAY(C136,1)=2,"Monday",WEEKDAY(C136,1)=3,"Tuesday",WEEKDAY(C136,1)=4,"Wednesday",WEEKDAY(C136,1)=5,"Thursday",WEEKDAY(C136,1)=6,"Friday",WEEKDAY(C136,1)=7,"Saturday")</f>
        <v>Wednesday</v>
      </c>
      <c r="B136" s="61" t="s">
        <v>391</v>
      </c>
      <c r="C136" s="62">
        <f t="shared" si="16"/>
        <v>44916</v>
      </c>
      <c r="D136" s="62">
        <v>44916</v>
      </c>
      <c r="E136" s="63">
        <v>4.1666666666666664E-2</v>
      </c>
      <c r="F136" s="60" t="s">
        <v>95</v>
      </c>
      <c r="G136" s="60" t="s">
        <v>113</v>
      </c>
      <c r="H136" s="61">
        <v>3</v>
      </c>
      <c r="I136" s="61">
        <v>0</v>
      </c>
      <c r="J136" s="61">
        <v>28</v>
      </c>
      <c r="K136" s="61">
        <v>29</v>
      </c>
      <c r="L136" s="61"/>
      <c r="M136" s="61" t="str" cm="1">
        <f t="array" ref="M136">_xlfn.IFS(WEEKDAY(N136,1)=1,"Sunday",WEEKDAY(N136,1)=2,"Monday",WEEKDAY(N136,1)=3,"Tuesday",WEEKDAY(N136,1)=4,"Wednesday",WEEKDAY(N136,1)=5,"Thursday",WEEKDAY(N136,1)=6,"Friday",WEEKDAY(N136,1)=7,"Saturday")</f>
        <v>Wednesday</v>
      </c>
      <c r="N136" s="62">
        <v>44916</v>
      </c>
      <c r="O136" s="63">
        <v>4.1666666666666664E-2</v>
      </c>
      <c r="P136" s="60" t="s">
        <v>95</v>
      </c>
      <c r="Q136" s="60" t="s">
        <v>77</v>
      </c>
      <c r="R136" s="60" t="s">
        <v>113</v>
      </c>
      <c r="S136" s="68">
        <v>92.857142857142861</v>
      </c>
      <c r="T136" s="61">
        <v>28</v>
      </c>
      <c r="V136">
        <f t="shared" si="12"/>
        <v>24650</v>
      </c>
      <c r="W136" s="1">
        <f t="shared" si="13"/>
        <v>850</v>
      </c>
      <c r="X136">
        <f t="shared" si="14"/>
        <v>10</v>
      </c>
      <c r="Y136" s="55">
        <f t="shared" si="15"/>
        <v>0.9285714285714286</v>
      </c>
    </row>
    <row r="137" spans="1:25" x14ac:dyDescent="0.25">
      <c r="A137" s="61" t="str" cm="1">
        <f t="array" ref="A137">_xlfn.IFS(WEEKDAY(C137,1)=1,"Sunday",WEEKDAY(C137,1)=2,"Monday",WEEKDAY(C137,1)=3,"Tuesday",WEEKDAY(C137,1)=4,"Wednesday",WEEKDAY(C137,1)=5,"Thursday",WEEKDAY(C137,1)=6,"Friday",WEEKDAY(C137,1)=7,"Saturday")</f>
        <v>Wednesday</v>
      </c>
      <c r="B137" s="61" t="s">
        <v>391</v>
      </c>
      <c r="C137" s="62">
        <f t="shared" si="16"/>
        <v>44916</v>
      </c>
      <c r="D137" s="62">
        <v>44916</v>
      </c>
      <c r="E137" s="63">
        <v>8.3333333333333329E-2</v>
      </c>
      <c r="F137" s="60" t="s">
        <v>95</v>
      </c>
      <c r="G137" s="60" t="s">
        <v>119</v>
      </c>
      <c r="H137" s="61">
        <v>1</v>
      </c>
      <c r="I137" s="61">
        <v>0</v>
      </c>
      <c r="J137" s="61">
        <v>31</v>
      </c>
      <c r="K137" s="61">
        <v>31</v>
      </c>
      <c r="L137" s="61"/>
      <c r="M137" s="61" t="str" cm="1">
        <f t="array" ref="M137">_xlfn.IFS(WEEKDAY(N137,1)=1,"Sunday",WEEKDAY(N137,1)=2,"Monday",WEEKDAY(N137,1)=3,"Tuesday",WEEKDAY(N137,1)=4,"Wednesday",WEEKDAY(N137,1)=5,"Thursday",WEEKDAY(N137,1)=6,"Friday",WEEKDAY(N137,1)=7,"Saturday")</f>
        <v>Wednesday</v>
      </c>
      <c r="N137" s="62">
        <v>44916</v>
      </c>
      <c r="O137" s="63">
        <v>8.3333333333333329E-2</v>
      </c>
      <c r="P137" s="60" t="s">
        <v>95</v>
      </c>
      <c r="Q137" s="60" t="s">
        <v>177</v>
      </c>
      <c r="R137" s="60" t="s">
        <v>118</v>
      </c>
      <c r="S137" s="68">
        <v>96.774193548387103</v>
      </c>
      <c r="T137" s="61">
        <v>31</v>
      </c>
      <c r="V137">
        <f t="shared" si="12"/>
        <v>29511.999999999996</v>
      </c>
      <c r="W137" s="1">
        <f t="shared" si="13"/>
        <v>951.99999999999989</v>
      </c>
      <c r="X137">
        <f t="shared" si="14"/>
        <v>8</v>
      </c>
      <c r="Y137" s="55">
        <f t="shared" si="15"/>
        <v>0.967741935483871</v>
      </c>
    </row>
    <row r="138" spans="1:25" x14ac:dyDescent="0.25">
      <c r="A138" s="61" t="str" cm="1">
        <f t="array" ref="A138">_xlfn.IFS(WEEKDAY(C138,1)=1,"Sunday",WEEKDAY(C138,1)=2,"Monday",WEEKDAY(C138,1)=3,"Tuesday",WEEKDAY(C138,1)=4,"Wednesday",WEEKDAY(C138,1)=5,"Thursday",WEEKDAY(C138,1)=6,"Friday",WEEKDAY(C138,1)=7,"Saturday")</f>
        <v>Wednesday</v>
      </c>
      <c r="B138" s="61" t="s">
        <v>391</v>
      </c>
      <c r="C138" s="62">
        <f t="shared" si="16"/>
        <v>44916</v>
      </c>
      <c r="D138" s="62">
        <v>44916</v>
      </c>
      <c r="E138" s="63">
        <v>0.125</v>
      </c>
      <c r="F138" s="60" t="s">
        <v>95</v>
      </c>
      <c r="G138" s="60" t="s">
        <v>119</v>
      </c>
      <c r="H138" s="61">
        <v>1</v>
      </c>
      <c r="I138" s="61">
        <v>0</v>
      </c>
      <c r="J138" s="61">
        <v>31</v>
      </c>
      <c r="K138" s="61">
        <v>31</v>
      </c>
      <c r="L138" s="61"/>
      <c r="M138" s="61" t="str" cm="1">
        <f t="array" ref="M138">_xlfn.IFS(WEEKDAY(N138,1)=1,"Sunday",WEEKDAY(N138,1)=2,"Monday",WEEKDAY(N138,1)=3,"Tuesday",WEEKDAY(N138,1)=4,"Wednesday",WEEKDAY(N138,1)=5,"Thursday",WEEKDAY(N138,1)=6,"Friday",WEEKDAY(N138,1)=7,"Saturday")</f>
        <v>Wednesday</v>
      </c>
      <c r="N138" s="62">
        <v>44916</v>
      </c>
      <c r="O138" s="63">
        <v>0.125</v>
      </c>
      <c r="P138" s="60" t="s">
        <v>95</v>
      </c>
      <c r="Q138" s="60" t="s">
        <v>157</v>
      </c>
      <c r="R138" s="60" t="s">
        <v>118</v>
      </c>
      <c r="S138" s="68">
        <v>96.774193548387103</v>
      </c>
      <c r="T138" s="61">
        <v>31</v>
      </c>
      <c r="V138">
        <f t="shared" si="12"/>
        <v>25668.000000000004</v>
      </c>
      <c r="W138" s="1">
        <f t="shared" si="13"/>
        <v>828.00000000000011</v>
      </c>
      <c r="X138">
        <f t="shared" si="14"/>
        <v>8</v>
      </c>
      <c r="Y138" s="55">
        <f t="shared" si="15"/>
        <v>0.967741935483871</v>
      </c>
    </row>
    <row r="139" spans="1:25" x14ac:dyDescent="0.25">
      <c r="A139" s="61" t="str" cm="1">
        <f t="array" ref="A139">_xlfn.IFS(WEEKDAY(C139,1)=1,"Sunday",WEEKDAY(C139,1)=2,"Monday",WEEKDAY(C139,1)=3,"Tuesday",WEEKDAY(C139,1)=4,"Wednesday",WEEKDAY(C139,1)=5,"Thursday",WEEKDAY(C139,1)=6,"Friday",WEEKDAY(C139,1)=7,"Saturday")</f>
        <v>Wednesday</v>
      </c>
      <c r="B139" s="61" t="s">
        <v>391</v>
      </c>
      <c r="C139" s="62">
        <f t="shared" si="16"/>
        <v>44916</v>
      </c>
      <c r="D139" s="62">
        <v>44916</v>
      </c>
      <c r="E139" s="63">
        <v>0.16666666666666666</v>
      </c>
      <c r="F139" s="60" t="s">
        <v>95</v>
      </c>
      <c r="G139" s="60" t="s">
        <v>113</v>
      </c>
      <c r="H139" s="61">
        <v>1</v>
      </c>
      <c r="I139" s="61">
        <v>0</v>
      </c>
      <c r="J139" s="61">
        <v>18</v>
      </c>
      <c r="K139" s="61">
        <v>18</v>
      </c>
      <c r="L139" s="61"/>
      <c r="M139" s="61" t="str" cm="1">
        <f t="array" ref="M139">_xlfn.IFS(WEEKDAY(N139,1)=1,"Sunday",WEEKDAY(N139,1)=2,"Monday",WEEKDAY(N139,1)=3,"Tuesday",WEEKDAY(N139,1)=4,"Wednesday",WEEKDAY(N139,1)=5,"Thursday",WEEKDAY(N139,1)=6,"Friday",WEEKDAY(N139,1)=7,"Saturday")</f>
        <v>Wednesday</v>
      </c>
      <c r="N139" s="62">
        <v>44916</v>
      </c>
      <c r="O139" s="63">
        <v>0.16666666666666666</v>
      </c>
      <c r="P139" s="60" t="s">
        <v>95</v>
      </c>
      <c r="Q139" s="60" t="s">
        <v>327</v>
      </c>
      <c r="R139" s="60" t="s">
        <v>119</v>
      </c>
      <c r="S139" s="68">
        <v>94.444444444444443</v>
      </c>
      <c r="T139" s="61">
        <v>18</v>
      </c>
      <c r="V139">
        <f t="shared" si="12"/>
        <v>18954.000000000004</v>
      </c>
      <c r="W139" s="1">
        <f t="shared" si="13"/>
        <v>1053.0000000000002</v>
      </c>
      <c r="X139">
        <f t="shared" si="14"/>
        <v>9</v>
      </c>
      <c r="Y139" s="55">
        <f t="shared" si="15"/>
        <v>0.94444444444444442</v>
      </c>
    </row>
    <row r="140" spans="1:25" x14ac:dyDescent="0.25">
      <c r="A140" s="61" t="str" cm="1">
        <f t="array" ref="A140">_xlfn.IFS(WEEKDAY(C140,1)=1,"Sunday",WEEKDAY(C140,1)=2,"Monday",WEEKDAY(C140,1)=3,"Tuesday",WEEKDAY(C140,1)=4,"Wednesday",WEEKDAY(C140,1)=5,"Thursday",WEEKDAY(C140,1)=6,"Friday",WEEKDAY(C140,1)=7,"Saturday")</f>
        <v>Thursday</v>
      </c>
      <c r="B140" s="61" t="s">
        <v>391</v>
      </c>
      <c r="C140" s="62">
        <f t="shared" si="16"/>
        <v>44917</v>
      </c>
      <c r="D140" s="62">
        <v>44917</v>
      </c>
      <c r="E140" s="63">
        <v>0.33333333333333331</v>
      </c>
      <c r="F140" s="60" t="s">
        <v>94</v>
      </c>
      <c r="G140" s="60" t="s">
        <v>125</v>
      </c>
      <c r="H140" s="61">
        <v>2</v>
      </c>
      <c r="I140" s="61">
        <v>0</v>
      </c>
      <c r="J140" s="61">
        <v>17</v>
      </c>
      <c r="K140" s="61">
        <v>17</v>
      </c>
      <c r="L140" s="61"/>
      <c r="M140" s="61" t="str" cm="1">
        <f t="array" ref="M140">_xlfn.IFS(WEEKDAY(N140,1)=1,"Sunday",WEEKDAY(N140,1)=2,"Monday",WEEKDAY(N140,1)=3,"Tuesday",WEEKDAY(N140,1)=4,"Wednesday",WEEKDAY(N140,1)=5,"Thursday",WEEKDAY(N140,1)=6,"Friday",WEEKDAY(N140,1)=7,"Saturday")</f>
        <v>Thursday</v>
      </c>
      <c r="N140" s="62">
        <v>44917</v>
      </c>
      <c r="O140" s="63">
        <v>0.33333333333333331</v>
      </c>
      <c r="P140" s="60" t="s">
        <v>94</v>
      </c>
      <c r="Q140" s="60" t="s">
        <v>328</v>
      </c>
      <c r="R140" s="60" t="s">
        <v>106</v>
      </c>
      <c r="S140" s="68">
        <v>88.235294117647058</v>
      </c>
      <c r="T140" s="61">
        <v>17</v>
      </c>
      <c r="V140">
        <f t="shared" si="12"/>
        <v>16914.999999999996</v>
      </c>
      <c r="W140" s="1">
        <f t="shared" si="13"/>
        <v>994.99999999999989</v>
      </c>
      <c r="X140">
        <f t="shared" si="14"/>
        <v>12</v>
      </c>
      <c r="Y140" s="55">
        <f t="shared" si="15"/>
        <v>0.88235294117647056</v>
      </c>
    </row>
    <row r="141" spans="1:25" x14ac:dyDescent="0.25">
      <c r="A141" s="61" t="str" cm="1">
        <f t="array" ref="A141">_xlfn.IFS(WEEKDAY(C141,1)=1,"Sunday",WEEKDAY(C141,1)=2,"Monday",WEEKDAY(C141,1)=3,"Tuesday",WEEKDAY(C141,1)=4,"Wednesday",WEEKDAY(C141,1)=5,"Thursday",WEEKDAY(C141,1)=6,"Friday",WEEKDAY(C141,1)=7,"Saturday")</f>
        <v>Thursday</v>
      </c>
      <c r="B141" s="61" t="s">
        <v>391</v>
      </c>
      <c r="C141" s="62">
        <f t="shared" si="16"/>
        <v>44917</v>
      </c>
      <c r="D141" s="62">
        <v>44917</v>
      </c>
      <c r="E141" s="63">
        <v>0.375</v>
      </c>
      <c r="F141" s="60" t="s">
        <v>94</v>
      </c>
      <c r="G141" s="60" t="s">
        <v>186</v>
      </c>
      <c r="H141" s="61">
        <v>0</v>
      </c>
      <c r="I141" s="61">
        <v>0</v>
      </c>
      <c r="J141" s="61">
        <v>21</v>
      </c>
      <c r="K141" s="61">
        <v>21</v>
      </c>
      <c r="L141" s="61"/>
      <c r="M141" s="61" t="str" cm="1">
        <f t="array" ref="M141">_xlfn.IFS(WEEKDAY(N141,1)=1,"Sunday",WEEKDAY(N141,1)=2,"Monday",WEEKDAY(N141,1)=3,"Tuesday",WEEKDAY(N141,1)=4,"Wednesday",WEEKDAY(N141,1)=5,"Thursday",WEEKDAY(N141,1)=6,"Friday",WEEKDAY(N141,1)=7,"Saturday")</f>
        <v>Thursday</v>
      </c>
      <c r="N141" s="62">
        <v>44917</v>
      </c>
      <c r="O141" s="63">
        <v>0.375</v>
      </c>
      <c r="P141" s="60" t="s">
        <v>94</v>
      </c>
      <c r="Q141" s="60" t="s">
        <v>146</v>
      </c>
      <c r="R141" s="60" t="s">
        <v>105</v>
      </c>
      <c r="S141" s="68">
        <v>95.238095238095227</v>
      </c>
      <c r="T141" s="61">
        <v>21</v>
      </c>
      <c r="V141">
        <f t="shared" si="12"/>
        <v>14805</v>
      </c>
      <c r="W141" s="1">
        <f t="shared" si="13"/>
        <v>705</v>
      </c>
      <c r="X141">
        <f t="shared" si="14"/>
        <v>54.999999999999993</v>
      </c>
      <c r="Y141" s="55">
        <f t="shared" si="15"/>
        <v>0.95238095238095222</v>
      </c>
    </row>
    <row r="142" spans="1:25" x14ac:dyDescent="0.25">
      <c r="A142" s="61" t="str" cm="1">
        <f t="array" ref="A142">_xlfn.IFS(WEEKDAY(C142,1)=1,"Sunday",WEEKDAY(C142,1)=2,"Monday",WEEKDAY(C142,1)=3,"Tuesday",WEEKDAY(C142,1)=4,"Wednesday",WEEKDAY(C142,1)=5,"Thursday",WEEKDAY(C142,1)=6,"Friday",WEEKDAY(C142,1)=7,"Saturday")</f>
        <v>Thursday</v>
      </c>
      <c r="B142" s="61" t="s">
        <v>391</v>
      </c>
      <c r="C142" s="62">
        <f t="shared" si="16"/>
        <v>44917</v>
      </c>
      <c r="D142" s="62">
        <v>44917</v>
      </c>
      <c r="E142" s="63">
        <v>0.41666666666666669</v>
      </c>
      <c r="F142" s="60" t="s">
        <v>94</v>
      </c>
      <c r="G142" s="60" t="s">
        <v>150</v>
      </c>
      <c r="H142" s="61">
        <v>0</v>
      </c>
      <c r="I142" s="61">
        <v>0</v>
      </c>
      <c r="J142" s="61">
        <v>28</v>
      </c>
      <c r="K142" s="61">
        <v>28</v>
      </c>
      <c r="L142" s="61"/>
      <c r="M142" s="61" t="str" cm="1">
        <f t="array" ref="M142">_xlfn.IFS(WEEKDAY(N142,1)=1,"Sunday",WEEKDAY(N142,1)=2,"Monday",WEEKDAY(N142,1)=3,"Tuesday",WEEKDAY(N142,1)=4,"Wednesday",WEEKDAY(N142,1)=5,"Thursday",WEEKDAY(N142,1)=6,"Friday",WEEKDAY(N142,1)=7,"Saturday")</f>
        <v>Thursday</v>
      </c>
      <c r="N142" s="62">
        <v>44917</v>
      </c>
      <c r="O142" s="63">
        <v>0.41666666666666669</v>
      </c>
      <c r="P142" s="60" t="s">
        <v>94</v>
      </c>
      <c r="Q142" s="60" t="s">
        <v>221</v>
      </c>
      <c r="R142" s="60" t="s">
        <v>149</v>
      </c>
      <c r="S142" s="68">
        <v>100</v>
      </c>
      <c r="T142" s="61">
        <v>28</v>
      </c>
      <c r="V142">
        <f t="shared" si="12"/>
        <v>36120</v>
      </c>
      <c r="W142" s="1">
        <f t="shared" si="13"/>
        <v>1290</v>
      </c>
      <c r="X142">
        <f t="shared" si="14"/>
        <v>6</v>
      </c>
      <c r="Y142" s="55">
        <f t="shared" si="15"/>
        <v>1</v>
      </c>
    </row>
    <row r="143" spans="1:25" x14ac:dyDescent="0.25">
      <c r="A143" s="61" t="str" cm="1">
        <f t="array" ref="A143">_xlfn.IFS(WEEKDAY(C143,1)=1,"Sunday",WEEKDAY(C143,1)=2,"Monday",WEEKDAY(C143,1)=3,"Tuesday",WEEKDAY(C143,1)=4,"Wednesday",WEEKDAY(C143,1)=5,"Thursday",WEEKDAY(C143,1)=6,"Friday",WEEKDAY(C143,1)=7,"Saturday")</f>
        <v>Thursday</v>
      </c>
      <c r="B143" s="61" t="s">
        <v>391</v>
      </c>
      <c r="C143" s="62">
        <f t="shared" si="16"/>
        <v>44917</v>
      </c>
      <c r="D143" s="62">
        <v>44917</v>
      </c>
      <c r="E143" s="63">
        <v>0.45833333333333331</v>
      </c>
      <c r="F143" s="60" t="s">
        <v>94</v>
      </c>
      <c r="G143" s="60" t="s">
        <v>149</v>
      </c>
      <c r="H143" s="61">
        <v>0</v>
      </c>
      <c r="I143" s="61">
        <v>0</v>
      </c>
      <c r="J143" s="61">
        <v>33</v>
      </c>
      <c r="K143" s="61">
        <v>33</v>
      </c>
      <c r="L143" s="61"/>
      <c r="M143" s="61" t="str" cm="1">
        <f t="array" ref="M143">_xlfn.IFS(WEEKDAY(N143,1)=1,"Sunday",WEEKDAY(N143,1)=2,"Monday",WEEKDAY(N143,1)=3,"Tuesday",WEEKDAY(N143,1)=4,"Wednesday",WEEKDAY(N143,1)=5,"Thursday",WEEKDAY(N143,1)=6,"Friday",WEEKDAY(N143,1)=7,"Saturday")</f>
        <v>Thursday</v>
      </c>
      <c r="N143" s="62">
        <v>44917</v>
      </c>
      <c r="O143" s="63">
        <v>0.45833333333333331</v>
      </c>
      <c r="P143" s="60" t="s">
        <v>94</v>
      </c>
      <c r="Q143" s="60" t="s">
        <v>237</v>
      </c>
      <c r="R143" s="60" t="s">
        <v>128</v>
      </c>
      <c r="S143" s="68">
        <v>100</v>
      </c>
      <c r="T143" s="61">
        <v>33</v>
      </c>
      <c r="V143">
        <f t="shared" si="12"/>
        <v>31251</v>
      </c>
      <c r="W143" s="1">
        <f t="shared" si="13"/>
        <v>947</v>
      </c>
      <c r="X143">
        <f t="shared" si="14"/>
        <v>5</v>
      </c>
      <c r="Y143" s="55">
        <f t="shared" si="15"/>
        <v>1</v>
      </c>
    </row>
    <row r="144" spans="1:25" x14ac:dyDescent="0.25">
      <c r="A144" s="61" t="str" cm="1">
        <f t="array" ref="A144">_xlfn.IFS(WEEKDAY(C144,1)=1,"Sunday",WEEKDAY(C144,1)=2,"Monday",WEEKDAY(C144,1)=3,"Tuesday",WEEKDAY(C144,1)=4,"Wednesday",WEEKDAY(C144,1)=5,"Thursday",WEEKDAY(C144,1)=6,"Friday",WEEKDAY(C144,1)=7,"Saturday")</f>
        <v>Thursday</v>
      </c>
      <c r="B144" s="61" t="s">
        <v>391</v>
      </c>
      <c r="C144" s="62">
        <f t="shared" si="16"/>
        <v>44917</v>
      </c>
      <c r="D144" s="62">
        <v>44917</v>
      </c>
      <c r="E144" s="63">
        <v>0.5</v>
      </c>
      <c r="F144" s="60" t="s">
        <v>95</v>
      </c>
      <c r="G144" s="60" t="s">
        <v>149</v>
      </c>
      <c r="H144" s="61">
        <v>0</v>
      </c>
      <c r="I144" s="61">
        <v>0</v>
      </c>
      <c r="J144" s="61">
        <v>24</v>
      </c>
      <c r="K144" s="61">
        <v>24</v>
      </c>
      <c r="L144" s="61"/>
      <c r="M144" s="61" t="str" cm="1">
        <f t="array" ref="M144">_xlfn.IFS(WEEKDAY(N144,1)=1,"Sunday",WEEKDAY(N144,1)=2,"Monday",WEEKDAY(N144,1)=3,"Tuesday",WEEKDAY(N144,1)=4,"Wednesday",WEEKDAY(N144,1)=5,"Thursday",WEEKDAY(N144,1)=6,"Friday",WEEKDAY(N144,1)=7,"Saturday")</f>
        <v>Thursday</v>
      </c>
      <c r="N144" s="62">
        <v>44917</v>
      </c>
      <c r="O144" s="63">
        <v>0.5</v>
      </c>
      <c r="P144" s="60" t="s">
        <v>95</v>
      </c>
      <c r="Q144" s="60" t="s">
        <v>177</v>
      </c>
      <c r="R144" s="60" t="s">
        <v>128</v>
      </c>
      <c r="S144" s="68">
        <v>100</v>
      </c>
      <c r="T144" s="61">
        <v>24</v>
      </c>
      <c r="V144">
        <f t="shared" si="12"/>
        <v>22847.999999999996</v>
      </c>
      <c r="W144" s="1">
        <f t="shared" si="13"/>
        <v>951.99999999999989</v>
      </c>
      <c r="X144">
        <f t="shared" si="14"/>
        <v>5</v>
      </c>
      <c r="Y144" s="55">
        <f t="shared" si="15"/>
        <v>1</v>
      </c>
    </row>
    <row r="145" spans="1:25" x14ac:dyDescent="0.25">
      <c r="A145" s="61" t="str" cm="1">
        <f t="array" ref="A145">_xlfn.IFS(WEEKDAY(C145,1)=1,"Sunday",WEEKDAY(C145,1)=2,"Monday",WEEKDAY(C145,1)=3,"Tuesday",WEEKDAY(C145,1)=4,"Wednesday",WEEKDAY(C145,1)=5,"Thursday",WEEKDAY(C145,1)=6,"Friday",WEEKDAY(C145,1)=7,"Saturday")</f>
        <v>Thursday</v>
      </c>
      <c r="B145" s="61" t="s">
        <v>391</v>
      </c>
      <c r="C145" s="62">
        <f t="shared" si="16"/>
        <v>44917</v>
      </c>
      <c r="D145" s="62">
        <v>44917</v>
      </c>
      <c r="E145" s="63">
        <v>4.1666666666666664E-2</v>
      </c>
      <c r="F145" s="60" t="s">
        <v>95</v>
      </c>
      <c r="G145" s="60" t="s">
        <v>119</v>
      </c>
      <c r="H145" s="61">
        <v>1</v>
      </c>
      <c r="I145" s="61">
        <v>0</v>
      </c>
      <c r="J145" s="61">
        <v>30</v>
      </c>
      <c r="K145" s="61">
        <v>30</v>
      </c>
      <c r="L145" s="61"/>
      <c r="M145" s="61" t="str" cm="1">
        <f t="array" ref="M145">_xlfn.IFS(WEEKDAY(N145,1)=1,"Sunday",WEEKDAY(N145,1)=2,"Monday",WEEKDAY(N145,1)=3,"Tuesday",WEEKDAY(N145,1)=4,"Wednesday",WEEKDAY(N145,1)=5,"Thursday",WEEKDAY(N145,1)=6,"Friday",WEEKDAY(N145,1)=7,"Saturday")</f>
        <v>Thursday</v>
      </c>
      <c r="N145" s="62">
        <v>44917</v>
      </c>
      <c r="O145" s="63">
        <v>4.1666666666666664E-2</v>
      </c>
      <c r="P145" s="60" t="s">
        <v>95</v>
      </c>
      <c r="Q145" s="60" t="s">
        <v>329</v>
      </c>
      <c r="R145" s="60" t="s">
        <v>118</v>
      </c>
      <c r="S145" s="68">
        <v>96.666666666666671</v>
      </c>
      <c r="T145" s="61">
        <v>30</v>
      </c>
      <c r="V145">
        <f t="shared" si="12"/>
        <v>22620</v>
      </c>
      <c r="W145" s="1">
        <f t="shared" si="13"/>
        <v>754</v>
      </c>
      <c r="X145">
        <f t="shared" si="14"/>
        <v>8</v>
      </c>
      <c r="Y145" s="55">
        <f t="shared" si="15"/>
        <v>0.96666666666666667</v>
      </c>
    </row>
    <row r="146" spans="1:25" x14ac:dyDescent="0.25">
      <c r="A146" s="61" t="str" cm="1">
        <f t="array" ref="A146">_xlfn.IFS(WEEKDAY(C146,1)=1,"Sunday",WEEKDAY(C146,1)=2,"Monday",WEEKDAY(C146,1)=3,"Tuesday",WEEKDAY(C146,1)=4,"Wednesday",WEEKDAY(C146,1)=5,"Thursday",WEEKDAY(C146,1)=6,"Friday",WEEKDAY(C146,1)=7,"Saturday")</f>
        <v>Thursday</v>
      </c>
      <c r="B146" s="61" t="s">
        <v>391</v>
      </c>
      <c r="C146" s="62">
        <f t="shared" si="16"/>
        <v>44917</v>
      </c>
      <c r="D146" s="62">
        <v>44917</v>
      </c>
      <c r="E146" s="63">
        <v>8.3333333333333329E-2</v>
      </c>
      <c r="F146" s="60" t="s">
        <v>95</v>
      </c>
      <c r="G146" s="60" t="s">
        <v>118</v>
      </c>
      <c r="H146" s="61">
        <v>1</v>
      </c>
      <c r="I146" s="61">
        <v>0</v>
      </c>
      <c r="J146" s="61">
        <v>25</v>
      </c>
      <c r="K146" s="61">
        <v>25</v>
      </c>
      <c r="L146" s="61"/>
      <c r="M146" s="61" t="str" cm="1">
        <f t="array" ref="M146">_xlfn.IFS(WEEKDAY(N146,1)=1,"Sunday",WEEKDAY(N146,1)=2,"Monday",WEEKDAY(N146,1)=3,"Tuesday",WEEKDAY(N146,1)=4,"Wednesday",WEEKDAY(N146,1)=5,"Thursday",WEEKDAY(N146,1)=6,"Friday",WEEKDAY(N146,1)=7,"Saturday")</f>
        <v>Thursday</v>
      </c>
      <c r="N146" s="62">
        <v>44917</v>
      </c>
      <c r="O146" s="63">
        <v>8.3333333333333329E-2</v>
      </c>
      <c r="P146" s="60" t="s">
        <v>95</v>
      </c>
      <c r="Q146" s="60" t="s">
        <v>268</v>
      </c>
      <c r="R146" s="60" t="s">
        <v>150</v>
      </c>
      <c r="S146" s="68">
        <v>96</v>
      </c>
      <c r="T146" s="61">
        <v>25</v>
      </c>
      <c r="V146">
        <f t="shared" si="12"/>
        <v>24700</v>
      </c>
      <c r="W146" s="1">
        <f t="shared" si="13"/>
        <v>988</v>
      </c>
      <c r="X146">
        <f t="shared" si="14"/>
        <v>7</v>
      </c>
      <c r="Y146" s="55">
        <f t="shared" si="15"/>
        <v>0.96</v>
      </c>
    </row>
    <row r="147" spans="1:25" x14ac:dyDescent="0.25">
      <c r="A147" s="61" t="str" cm="1">
        <f t="array" ref="A147">_xlfn.IFS(WEEKDAY(C147,1)=1,"Sunday",WEEKDAY(C147,1)=2,"Monday",WEEKDAY(C147,1)=3,"Tuesday",WEEKDAY(C147,1)=4,"Wednesday",WEEKDAY(C147,1)=5,"Thursday",WEEKDAY(C147,1)=6,"Friday",WEEKDAY(C147,1)=7,"Saturday")</f>
        <v>Thursday</v>
      </c>
      <c r="B147" s="61" t="s">
        <v>391</v>
      </c>
      <c r="C147" s="62">
        <f t="shared" si="16"/>
        <v>44917</v>
      </c>
      <c r="D147" s="62">
        <v>44917</v>
      </c>
      <c r="E147" s="63">
        <v>0.125</v>
      </c>
      <c r="F147" s="60" t="s">
        <v>95</v>
      </c>
      <c r="G147" s="60" t="s">
        <v>149</v>
      </c>
      <c r="H147" s="61">
        <v>0</v>
      </c>
      <c r="I147" s="61">
        <v>0</v>
      </c>
      <c r="J147" s="61">
        <v>29</v>
      </c>
      <c r="K147" s="61">
        <v>29</v>
      </c>
      <c r="L147" s="61"/>
      <c r="M147" s="61" t="str" cm="1">
        <f t="array" ref="M147">_xlfn.IFS(WEEKDAY(N147,1)=1,"Sunday",WEEKDAY(N147,1)=2,"Monday",WEEKDAY(N147,1)=3,"Tuesday",WEEKDAY(N147,1)=4,"Wednesday",WEEKDAY(N147,1)=5,"Thursday",WEEKDAY(N147,1)=6,"Friday",WEEKDAY(N147,1)=7,"Saturday")</f>
        <v>Thursday</v>
      </c>
      <c r="N147" s="62">
        <v>44917</v>
      </c>
      <c r="O147" s="63">
        <v>0.125</v>
      </c>
      <c r="P147" s="60" t="s">
        <v>95</v>
      </c>
      <c r="Q147" s="60" t="s">
        <v>214</v>
      </c>
      <c r="R147" s="60" t="s">
        <v>128</v>
      </c>
      <c r="S147" s="68">
        <v>100</v>
      </c>
      <c r="T147" s="61">
        <v>29</v>
      </c>
      <c r="V147">
        <f t="shared" si="12"/>
        <v>23693</v>
      </c>
      <c r="W147" s="1">
        <f t="shared" si="13"/>
        <v>817</v>
      </c>
      <c r="X147">
        <f t="shared" si="14"/>
        <v>5</v>
      </c>
      <c r="Y147" s="55">
        <f t="shared" si="15"/>
        <v>1</v>
      </c>
    </row>
    <row r="148" spans="1:25" x14ac:dyDescent="0.25">
      <c r="A148" s="61" t="str" cm="1">
        <f t="array" ref="A148">_xlfn.IFS(WEEKDAY(C148,1)=1,"Sunday",WEEKDAY(C148,1)=2,"Monday",WEEKDAY(C148,1)=3,"Tuesday",WEEKDAY(C148,1)=4,"Wednesday",WEEKDAY(C148,1)=5,"Thursday",WEEKDAY(C148,1)=6,"Friday",WEEKDAY(C148,1)=7,"Saturday")</f>
        <v>Thursday</v>
      </c>
      <c r="B148" s="61" t="s">
        <v>391</v>
      </c>
      <c r="C148" s="62">
        <f t="shared" si="16"/>
        <v>44917</v>
      </c>
      <c r="D148" s="62">
        <v>44917</v>
      </c>
      <c r="E148" s="63">
        <v>0.16666666666666666</v>
      </c>
      <c r="F148" s="60" t="s">
        <v>95</v>
      </c>
      <c r="G148" s="60" t="s">
        <v>119</v>
      </c>
      <c r="H148" s="61">
        <v>1</v>
      </c>
      <c r="I148" s="61">
        <v>0</v>
      </c>
      <c r="J148" s="61">
        <v>28</v>
      </c>
      <c r="K148" s="61">
        <v>28</v>
      </c>
      <c r="L148" s="61"/>
      <c r="M148" s="61" t="str" cm="1">
        <f t="array" ref="M148">_xlfn.IFS(WEEKDAY(N148,1)=1,"Sunday",WEEKDAY(N148,1)=2,"Monday",WEEKDAY(N148,1)=3,"Tuesday",WEEKDAY(N148,1)=4,"Wednesday",WEEKDAY(N148,1)=5,"Thursday",WEEKDAY(N148,1)=6,"Friday",WEEKDAY(N148,1)=7,"Saturday")</f>
        <v>Thursday</v>
      </c>
      <c r="N148" s="62">
        <v>44917</v>
      </c>
      <c r="O148" s="63">
        <v>0.16666666666666666</v>
      </c>
      <c r="P148" s="60" t="s">
        <v>95</v>
      </c>
      <c r="Q148" s="60" t="s">
        <v>140</v>
      </c>
      <c r="R148" s="60" t="s">
        <v>118</v>
      </c>
      <c r="S148" s="68">
        <v>96.428571428571431</v>
      </c>
      <c r="T148" s="61">
        <v>28</v>
      </c>
      <c r="V148">
        <f t="shared" si="12"/>
        <v>23940</v>
      </c>
      <c r="W148" s="1">
        <f t="shared" si="13"/>
        <v>855</v>
      </c>
      <c r="X148">
        <f t="shared" si="14"/>
        <v>8</v>
      </c>
      <c r="Y148" s="55">
        <f t="shared" si="15"/>
        <v>0.9642857142857143</v>
      </c>
    </row>
    <row r="149" spans="1:25" x14ac:dyDescent="0.25">
      <c r="A149" s="61" t="str" cm="1">
        <f t="array" ref="A149">_xlfn.IFS(WEEKDAY(C149,1)=1,"Sunday",WEEKDAY(C149,1)=2,"Monday",WEEKDAY(C149,1)=3,"Tuesday",WEEKDAY(C149,1)=4,"Wednesday",WEEKDAY(C149,1)=5,"Thursday",WEEKDAY(C149,1)=6,"Friday",WEEKDAY(C149,1)=7,"Saturday")</f>
        <v>Friday</v>
      </c>
      <c r="B149" s="61" t="s">
        <v>391</v>
      </c>
      <c r="C149" s="62">
        <f t="shared" si="16"/>
        <v>44918</v>
      </c>
      <c r="D149" s="62">
        <v>44918</v>
      </c>
      <c r="E149" s="63">
        <v>0.33333333333333331</v>
      </c>
      <c r="F149" s="60" t="s">
        <v>94</v>
      </c>
      <c r="G149" s="60" t="s">
        <v>159</v>
      </c>
      <c r="H149" s="61">
        <v>4</v>
      </c>
      <c r="I149" s="61">
        <v>0</v>
      </c>
      <c r="J149" s="61">
        <v>12</v>
      </c>
      <c r="K149" s="61">
        <v>12</v>
      </c>
      <c r="L149" s="61"/>
      <c r="M149" s="61" t="str" cm="1">
        <f t="array" ref="M149">_xlfn.IFS(WEEKDAY(N149,1)=1,"Sunday",WEEKDAY(N149,1)=2,"Monday",WEEKDAY(N149,1)=3,"Tuesday",WEEKDAY(N149,1)=4,"Wednesday",WEEKDAY(N149,1)=5,"Thursday",WEEKDAY(N149,1)=6,"Friday",WEEKDAY(N149,1)=7,"Saturday")</f>
        <v>Friday</v>
      </c>
      <c r="N149" s="62">
        <v>44918</v>
      </c>
      <c r="O149" s="63">
        <v>0.33333333333333331</v>
      </c>
      <c r="P149" s="60" t="s">
        <v>94</v>
      </c>
      <c r="Q149" s="60" t="s">
        <v>330</v>
      </c>
      <c r="R149" s="60" t="s">
        <v>126</v>
      </c>
      <c r="S149" s="68">
        <v>75</v>
      </c>
      <c r="T149" s="61">
        <v>12</v>
      </c>
      <c r="V149">
        <f t="shared" si="12"/>
        <v>15060</v>
      </c>
      <c r="W149" s="1">
        <f t="shared" si="13"/>
        <v>1255</v>
      </c>
      <c r="X149">
        <f t="shared" si="14"/>
        <v>21.999999999999996</v>
      </c>
      <c r="Y149" s="55">
        <f t="shared" si="15"/>
        <v>0.75</v>
      </c>
    </row>
    <row r="150" spans="1:25" x14ac:dyDescent="0.25">
      <c r="A150" s="61" t="str" cm="1">
        <f t="array" ref="A150">_xlfn.IFS(WEEKDAY(C150,1)=1,"Sunday",WEEKDAY(C150,1)=2,"Monday",WEEKDAY(C150,1)=3,"Tuesday",WEEKDAY(C150,1)=4,"Wednesday",WEEKDAY(C150,1)=5,"Thursday",WEEKDAY(C150,1)=6,"Friday",WEEKDAY(C150,1)=7,"Saturday")</f>
        <v>Friday</v>
      </c>
      <c r="B150" s="61" t="s">
        <v>391</v>
      </c>
      <c r="C150" s="62">
        <f t="shared" si="16"/>
        <v>44918</v>
      </c>
      <c r="D150" s="62">
        <v>44918</v>
      </c>
      <c r="E150" s="63">
        <v>0.375</v>
      </c>
      <c r="F150" s="60" t="s">
        <v>94</v>
      </c>
      <c r="G150" s="60" t="s">
        <v>119</v>
      </c>
      <c r="H150" s="61">
        <v>1</v>
      </c>
      <c r="I150" s="61">
        <v>0</v>
      </c>
      <c r="J150" s="61">
        <v>20</v>
      </c>
      <c r="K150" s="61">
        <v>20</v>
      </c>
      <c r="L150" s="61"/>
      <c r="M150" s="61" t="str" cm="1">
        <f t="array" ref="M150">_xlfn.IFS(WEEKDAY(N150,1)=1,"Sunday",WEEKDAY(N150,1)=2,"Monday",WEEKDAY(N150,1)=3,"Tuesday",WEEKDAY(N150,1)=4,"Wednesday",WEEKDAY(N150,1)=5,"Thursday",WEEKDAY(N150,1)=6,"Friday",WEEKDAY(N150,1)=7,"Saturday")</f>
        <v>Friday</v>
      </c>
      <c r="N150" s="62">
        <v>44918</v>
      </c>
      <c r="O150" s="63">
        <v>0.375</v>
      </c>
      <c r="P150" s="60" t="s">
        <v>94</v>
      </c>
      <c r="Q150" s="60" t="s">
        <v>267</v>
      </c>
      <c r="R150" s="60" t="s">
        <v>118</v>
      </c>
      <c r="S150" s="68">
        <v>100</v>
      </c>
      <c r="T150" s="61">
        <v>20</v>
      </c>
      <c r="V150">
        <f t="shared" si="12"/>
        <v>20160</v>
      </c>
      <c r="W150" s="1">
        <f t="shared" si="13"/>
        <v>1008</v>
      </c>
      <c r="X150">
        <f t="shared" si="14"/>
        <v>8</v>
      </c>
      <c r="Y150" s="55">
        <f t="shared" si="15"/>
        <v>1</v>
      </c>
    </row>
    <row r="151" spans="1:25" x14ac:dyDescent="0.25">
      <c r="A151" s="61" t="str" cm="1">
        <f t="array" ref="A151">_xlfn.IFS(WEEKDAY(C151,1)=1,"Sunday",WEEKDAY(C151,1)=2,"Monday",WEEKDAY(C151,1)=3,"Tuesday",WEEKDAY(C151,1)=4,"Wednesday",WEEKDAY(C151,1)=5,"Thursday",WEEKDAY(C151,1)=6,"Friday",WEEKDAY(C151,1)=7,"Saturday")</f>
        <v>Friday</v>
      </c>
      <c r="B151" s="61" t="s">
        <v>391</v>
      </c>
      <c r="C151" s="62">
        <f t="shared" si="16"/>
        <v>44918</v>
      </c>
      <c r="D151" s="62">
        <v>44918</v>
      </c>
      <c r="E151" s="63">
        <v>0.41666666666666669</v>
      </c>
      <c r="F151" s="60" t="s">
        <v>94</v>
      </c>
      <c r="G151" s="60" t="s">
        <v>124</v>
      </c>
      <c r="H151" s="61">
        <v>2</v>
      </c>
      <c r="I151" s="61">
        <v>0</v>
      </c>
      <c r="J151" s="61">
        <v>25</v>
      </c>
      <c r="K151" s="61">
        <v>25</v>
      </c>
      <c r="L151" s="61"/>
      <c r="M151" s="61" t="str" cm="1">
        <f t="array" ref="M151">_xlfn.IFS(WEEKDAY(N151,1)=1,"Sunday",WEEKDAY(N151,1)=2,"Monday",WEEKDAY(N151,1)=3,"Tuesday",WEEKDAY(N151,1)=4,"Wednesday",WEEKDAY(N151,1)=5,"Thursday",WEEKDAY(N151,1)=6,"Friday",WEEKDAY(N151,1)=7,"Saturday")</f>
        <v>Friday</v>
      </c>
      <c r="N151" s="62">
        <v>44918</v>
      </c>
      <c r="O151" s="63">
        <v>0.41666666666666669</v>
      </c>
      <c r="P151" s="60" t="s">
        <v>94</v>
      </c>
      <c r="Q151" s="60" t="s">
        <v>157</v>
      </c>
      <c r="R151" s="60" t="s">
        <v>113</v>
      </c>
      <c r="S151" s="68">
        <v>92</v>
      </c>
      <c r="T151" s="61">
        <v>25</v>
      </c>
      <c r="V151">
        <f t="shared" si="12"/>
        <v>20700.000000000004</v>
      </c>
      <c r="W151" s="1">
        <f t="shared" si="13"/>
        <v>828.00000000000011</v>
      </c>
      <c r="X151">
        <f t="shared" si="14"/>
        <v>10</v>
      </c>
      <c r="Y151" s="55">
        <f t="shared" si="15"/>
        <v>0.92</v>
      </c>
    </row>
    <row r="152" spans="1:25" x14ac:dyDescent="0.25">
      <c r="A152" s="61" t="str" cm="1">
        <f t="array" ref="A152">_xlfn.IFS(WEEKDAY(C152,1)=1,"Sunday",WEEKDAY(C152,1)=2,"Monday",WEEKDAY(C152,1)=3,"Tuesday",WEEKDAY(C152,1)=4,"Wednesday",WEEKDAY(C152,1)=5,"Thursday",WEEKDAY(C152,1)=6,"Friday",WEEKDAY(C152,1)=7,"Saturday")</f>
        <v>Friday</v>
      </c>
      <c r="B152" s="61" t="s">
        <v>391</v>
      </c>
      <c r="C152" s="62">
        <f t="shared" si="16"/>
        <v>44918</v>
      </c>
      <c r="D152" s="62">
        <v>44918</v>
      </c>
      <c r="E152" s="63">
        <v>0.45833333333333331</v>
      </c>
      <c r="F152" s="60" t="s">
        <v>94</v>
      </c>
      <c r="G152" s="60" t="s">
        <v>113</v>
      </c>
      <c r="H152" s="61">
        <v>2</v>
      </c>
      <c r="I152" s="61">
        <v>0</v>
      </c>
      <c r="J152" s="61">
        <v>34</v>
      </c>
      <c r="K152" s="61">
        <v>34</v>
      </c>
      <c r="L152" s="61"/>
      <c r="M152" s="61" t="str" cm="1">
        <f t="array" ref="M152">_xlfn.IFS(WEEKDAY(N152,1)=1,"Sunday",WEEKDAY(N152,1)=2,"Monday",WEEKDAY(N152,1)=3,"Tuesday",WEEKDAY(N152,1)=4,"Wednesday",WEEKDAY(N152,1)=5,"Thursday",WEEKDAY(N152,1)=6,"Friday",WEEKDAY(N152,1)=7,"Saturday")</f>
        <v>Friday</v>
      </c>
      <c r="N152" s="62">
        <v>44918</v>
      </c>
      <c r="O152" s="63">
        <v>0.45833333333333331</v>
      </c>
      <c r="P152" s="60" t="s">
        <v>94</v>
      </c>
      <c r="Q152" s="60" t="s">
        <v>158</v>
      </c>
      <c r="R152" s="60" t="s">
        <v>119</v>
      </c>
      <c r="S152" s="68">
        <v>94.117647058823522</v>
      </c>
      <c r="T152" s="61">
        <v>34</v>
      </c>
      <c r="V152">
        <f t="shared" si="12"/>
        <v>28967.999999999996</v>
      </c>
      <c r="W152" s="1">
        <f t="shared" si="13"/>
        <v>851.99999999999989</v>
      </c>
      <c r="X152">
        <f t="shared" si="14"/>
        <v>9</v>
      </c>
      <c r="Y152" s="55">
        <f t="shared" si="15"/>
        <v>0.94117647058823517</v>
      </c>
    </row>
    <row r="153" spans="1:25" x14ac:dyDescent="0.25">
      <c r="A153" s="61" t="str" cm="1">
        <f t="array" ref="A153">_xlfn.IFS(WEEKDAY(C153,1)=1,"Sunday",WEEKDAY(C153,1)=2,"Monday",WEEKDAY(C153,1)=3,"Tuesday",WEEKDAY(C153,1)=4,"Wednesday",WEEKDAY(C153,1)=5,"Thursday",WEEKDAY(C153,1)=6,"Friday",WEEKDAY(C153,1)=7,"Saturday")</f>
        <v>Friday</v>
      </c>
      <c r="B153" s="61" t="s">
        <v>391</v>
      </c>
      <c r="C153" s="62">
        <f t="shared" si="16"/>
        <v>44918</v>
      </c>
      <c r="D153" s="62">
        <v>44918</v>
      </c>
      <c r="E153" s="63">
        <v>0.5</v>
      </c>
      <c r="F153" s="60" t="s">
        <v>95</v>
      </c>
      <c r="G153" s="60" t="s">
        <v>118</v>
      </c>
      <c r="H153" s="61">
        <v>1</v>
      </c>
      <c r="I153" s="61">
        <v>0</v>
      </c>
      <c r="J153" s="61">
        <v>38</v>
      </c>
      <c r="K153" s="61">
        <v>38</v>
      </c>
      <c r="L153" s="61"/>
      <c r="M153" s="61" t="str" cm="1">
        <f t="array" ref="M153">_xlfn.IFS(WEEKDAY(N153,1)=1,"Sunday",WEEKDAY(N153,1)=2,"Monday",WEEKDAY(N153,1)=3,"Tuesday",WEEKDAY(N153,1)=4,"Wednesday",WEEKDAY(N153,1)=5,"Thursday",WEEKDAY(N153,1)=6,"Friday",WEEKDAY(N153,1)=7,"Saturday")</f>
        <v>Friday</v>
      </c>
      <c r="N153" s="62">
        <v>44918</v>
      </c>
      <c r="O153" s="63">
        <v>0.5</v>
      </c>
      <c r="P153" s="60" t="s">
        <v>95</v>
      </c>
      <c r="Q153" s="60" t="s">
        <v>253</v>
      </c>
      <c r="R153" s="60" t="s">
        <v>150</v>
      </c>
      <c r="S153" s="68">
        <v>97.368421052631575</v>
      </c>
      <c r="T153" s="61">
        <v>38</v>
      </c>
      <c r="V153">
        <f t="shared" si="12"/>
        <v>34884.000000000007</v>
      </c>
      <c r="W153" s="1">
        <f t="shared" si="13"/>
        <v>918.00000000000011</v>
      </c>
      <c r="X153">
        <f t="shared" si="14"/>
        <v>7</v>
      </c>
      <c r="Y153" s="55">
        <f t="shared" si="15"/>
        <v>0.97368421052631571</v>
      </c>
    </row>
    <row r="154" spans="1:25" x14ac:dyDescent="0.25">
      <c r="A154" s="61" t="str" cm="1">
        <f t="array" ref="A154">_xlfn.IFS(WEEKDAY(C154,1)=1,"Sunday",WEEKDAY(C154,1)=2,"Monday",WEEKDAY(C154,1)=3,"Tuesday",WEEKDAY(C154,1)=4,"Wednesday",WEEKDAY(C154,1)=5,"Thursday",WEEKDAY(C154,1)=6,"Friday",WEEKDAY(C154,1)=7,"Saturday")</f>
        <v>Friday</v>
      </c>
      <c r="B154" s="61" t="s">
        <v>391</v>
      </c>
      <c r="C154" s="62">
        <f t="shared" si="16"/>
        <v>44918</v>
      </c>
      <c r="D154" s="62">
        <v>44918</v>
      </c>
      <c r="E154" s="63">
        <v>4.1666666666666664E-2</v>
      </c>
      <c r="F154" s="60" t="s">
        <v>95</v>
      </c>
      <c r="G154" s="60" t="s">
        <v>118</v>
      </c>
      <c r="H154" s="61">
        <v>0</v>
      </c>
      <c r="I154" s="61">
        <v>0</v>
      </c>
      <c r="J154" s="61">
        <v>21</v>
      </c>
      <c r="K154" s="61">
        <v>21</v>
      </c>
      <c r="L154" s="61"/>
      <c r="M154" s="61" t="str" cm="1">
        <f t="array" ref="M154">_xlfn.IFS(WEEKDAY(N154,1)=1,"Sunday",WEEKDAY(N154,1)=2,"Monday",WEEKDAY(N154,1)=3,"Tuesday",WEEKDAY(N154,1)=4,"Wednesday",WEEKDAY(N154,1)=5,"Thursday",WEEKDAY(N154,1)=6,"Friday",WEEKDAY(N154,1)=7,"Saturday")</f>
        <v>Friday</v>
      </c>
      <c r="N154" s="62">
        <v>44918</v>
      </c>
      <c r="O154" s="63">
        <v>4.1666666666666664E-2</v>
      </c>
      <c r="P154" s="60" t="s">
        <v>95</v>
      </c>
      <c r="Q154" s="60" t="s">
        <v>271</v>
      </c>
      <c r="R154" s="60" t="s">
        <v>150</v>
      </c>
      <c r="S154" s="68">
        <v>100</v>
      </c>
      <c r="T154" s="61">
        <v>21</v>
      </c>
      <c r="V154">
        <f t="shared" si="12"/>
        <v>14091</v>
      </c>
      <c r="W154" s="1">
        <f t="shared" si="13"/>
        <v>671</v>
      </c>
      <c r="X154">
        <f t="shared" si="14"/>
        <v>7</v>
      </c>
      <c r="Y154" s="55">
        <f t="shared" si="15"/>
        <v>1</v>
      </c>
    </row>
    <row r="155" spans="1:25" x14ac:dyDescent="0.25">
      <c r="A155" s="61" t="str" cm="1">
        <f t="array" ref="A155">_xlfn.IFS(WEEKDAY(C155,1)=1,"Sunday",WEEKDAY(C155,1)=2,"Monday",WEEKDAY(C155,1)=3,"Tuesday",WEEKDAY(C155,1)=4,"Wednesday",WEEKDAY(C155,1)=5,"Thursday",WEEKDAY(C155,1)=6,"Friday",WEEKDAY(C155,1)=7,"Saturday")</f>
        <v>Friday</v>
      </c>
      <c r="B155" s="61" t="s">
        <v>391</v>
      </c>
      <c r="C155" s="62">
        <f t="shared" si="16"/>
        <v>44918</v>
      </c>
      <c r="D155" s="62">
        <v>44918</v>
      </c>
      <c r="E155" s="63">
        <v>8.3333333333333329E-2</v>
      </c>
      <c r="F155" s="60" t="s">
        <v>95</v>
      </c>
      <c r="G155" s="60" t="s">
        <v>113</v>
      </c>
      <c r="H155" s="61">
        <v>1</v>
      </c>
      <c r="I155" s="61">
        <v>0</v>
      </c>
      <c r="J155" s="61">
        <v>18</v>
      </c>
      <c r="K155" s="61">
        <v>18</v>
      </c>
      <c r="L155" s="61"/>
      <c r="M155" s="61" t="str" cm="1">
        <f t="array" ref="M155">_xlfn.IFS(WEEKDAY(N155,1)=1,"Sunday",WEEKDAY(N155,1)=2,"Monday",WEEKDAY(N155,1)=3,"Tuesday",WEEKDAY(N155,1)=4,"Wednesday",WEEKDAY(N155,1)=5,"Thursday",WEEKDAY(N155,1)=6,"Friday",WEEKDAY(N155,1)=7,"Saturday")</f>
        <v>Friday</v>
      </c>
      <c r="N155" s="62">
        <v>44918</v>
      </c>
      <c r="O155" s="63">
        <v>8.3333333333333329E-2</v>
      </c>
      <c r="P155" s="60" t="s">
        <v>95</v>
      </c>
      <c r="Q155" s="60" t="s">
        <v>174</v>
      </c>
      <c r="R155" s="60" t="s">
        <v>119</v>
      </c>
      <c r="S155" s="68">
        <v>94.444444444444443</v>
      </c>
      <c r="T155" s="61">
        <v>18</v>
      </c>
      <c r="V155">
        <f t="shared" si="12"/>
        <v>16848</v>
      </c>
      <c r="W155" s="1">
        <f t="shared" si="13"/>
        <v>936</v>
      </c>
      <c r="X155">
        <f t="shared" si="14"/>
        <v>9</v>
      </c>
      <c r="Y155" s="55">
        <f t="shared" si="15"/>
        <v>0.94444444444444442</v>
      </c>
    </row>
    <row r="156" spans="1:25" x14ac:dyDescent="0.25">
      <c r="A156" s="61" t="str" cm="1">
        <f t="array" ref="A156">_xlfn.IFS(WEEKDAY(C156,1)=1,"Sunday",WEEKDAY(C156,1)=2,"Monday",WEEKDAY(C156,1)=3,"Tuesday",WEEKDAY(C156,1)=4,"Wednesday",WEEKDAY(C156,1)=5,"Thursday",WEEKDAY(C156,1)=6,"Friday",WEEKDAY(C156,1)=7,"Saturday")</f>
        <v>Friday</v>
      </c>
      <c r="B156" s="61" t="s">
        <v>391</v>
      </c>
      <c r="C156" s="62">
        <f t="shared" si="16"/>
        <v>44918</v>
      </c>
      <c r="D156" s="62">
        <v>44918</v>
      </c>
      <c r="E156" s="63">
        <v>0.125</v>
      </c>
      <c r="F156" s="60" t="s">
        <v>95</v>
      </c>
      <c r="G156" s="60" t="s">
        <v>241</v>
      </c>
      <c r="H156" s="61">
        <v>7</v>
      </c>
      <c r="I156" s="61">
        <v>0</v>
      </c>
      <c r="J156" s="61">
        <v>28</v>
      </c>
      <c r="K156" s="61">
        <v>28</v>
      </c>
      <c r="L156" s="61"/>
      <c r="M156" s="61" t="str" cm="1">
        <f t="array" ref="M156">_xlfn.IFS(WEEKDAY(N156,1)=1,"Sunday",WEEKDAY(N156,1)=2,"Monday",WEEKDAY(N156,1)=3,"Tuesday",WEEKDAY(N156,1)=4,"Wednesday",WEEKDAY(N156,1)=5,"Thursday",WEEKDAY(N156,1)=6,"Friday",WEEKDAY(N156,1)=7,"Saturday")</f>
        <v>Friday</v>
      </c>
      <c r="N156" s="62">
        <v>44918</v>
      </c>
      <c r="O156" s="63">
        <v>0.125</v>
      </c>
      <c r="P156" s="60" t="s">
        <v>95</v>
      </c>
      <c r="Q156" s="60" t="s">
        <v>226</v>
      </c>
      <c r="R156" s="60" t="s">
        <v>331</v>
      </c>
      <c r="S156" s="68">
        <v>67.857142857142861</v>
      </c>
      <c r="T156" s="61">
        <v>28</v>
      </c>
      <c r="V156">
        <f t="shared" si="12"/>
        <v>23099.999999999996</v>
      </c>
      <c r="W156" s="1">
        <f t="shared" si="13"/>
        <v>824.99999999999989</v>
      </c>
      <c r="X156">
        <f t="shared" si="14"/>
        <v>109</v>
      </c>
      <c r="Y156" s="55">
        <f t="shared" si="15"/>
        <v>0.6785714285714286</v>
      </c>
    </row>
    <row r="157" spans="1:25" x14ac:dyDescent="0.25">
      <c r="A157" s="61" t="str" cm="1">
        <f t="array" ref="A157">_xlfn.IFS(WEEKDAY(C157,1)=1,"Sunday",WEEKDAY(C157,1)=2,"Monday",WEEKDAY(C157,1)=3,"Tuesday",WEEKDAY(C157,1)=4,"Wednesday",WEEKDAY(C157,1)=5,"Thursday",WEEKDAY(C157,1)=6,"Friday",WEEKDAY(C157,1)=7,"Saturday")</f>
        <v>Friday</v>
      </c>
      <c r="B157" s="61" t="s">
        <v>391</v>
      </c>
      <c r="C157" s="62">
        <f t="shared" si="16"/>
        <v>44918</v>
      </c>
      <c r="D157" s="62">
        <v>44918</v>
      </c>
      <c r="E157" s="63">
        <v>0.16666666666666666</v>
      </c>
      <c r="F157" s="60" t="s">
        <v>95</v>
      </c>
      <c r="G157" s="60" t="s">
        <v>138</v>
      </c>
      <c r="H157" s="61">
        <v>2</v>
      </c>
      <c r="I157" s="61">
        <v>0</v>
      </c>
      <c r="J157" s="61">
        <v>14</v>
      </c>
      <c r="K157" s="61">
        <v>14</v>
      </c>
      <c r="L157" s="61"/>
      <c r="M157" s="61" t="str" cm="1">
        <f t="array" ref="M157">_xlfn.IFS(WEEKDAY(N157,1)=1,"Sunday",WEEKDAY(N157,1)=2,"Monday",WEEKDAY(N157,1)=3,"Tuesday",WEEKDAY(N157,1)=4,"Wednesday",WEEKDAY(N157,1)=5,"Thursday",WEEKDAY(N157,1)=6,"Friday",WEEKDAY(N157,1)=7,"Saturday")</f>
        <v>Friday</v>
      </c>
      <c r="N157" s="62">
        <v>44918</v>
      </c>
      <c r="O157" s="63">
        <v>0.16666666666666666</v>
      </c>
      <c r="P157" s="60" t="s">
        <v>95</v>
      </c>
      <c r="Q157" s="60" t="s">
        <v>257</v>
      </c>
      <c r="R157" s="60" t="s">
        <v>125</v>
      </c>
      <c r="S157" s="68">
        <v>85.714285714285708</v>
      </c>
      <c r="T157" s="61">
        <v>14</v>
      </c>
      <c r="V157">
        <f t="shared" si="12"/>
        <v>14280</v>
      </c>
      <c r="W157" s="1">
        <f t="shared" si="13"/>
        <v>1020</v>
      </c>
      <c r="X157">
        <f t="shared" si="14"/>
        <v>13.000000000000002</v>
      </c>
      <c r="Y157" s="55">
        <f t="shared" si="15"/>
        <v>0.8571428571428571</v>
      </c>
    </row>
    <row r="158" spans="1:25" x14ac:dyDescent="0.25">
      <c r="A158" s="61" t="str" cm="1">
        <f t="array" ref="A158">_xlfn.IFS(WEEKDAY(C158,1)=1,"Sunday",WEEKDAY(C158,1)=2,"Monday",WEEKDAY(C158,1)=3,"Tuesday",WEEKDAY(C158,1)=4,"Wednesday",WEEKDAY(C158,1)=5,"Thursday",WEEKDAY(C158,1)=6,"Friday",WEEKDAY(C158,1)=7,"Saturday")</f>
        <v>Tuesday</v>
      </c>
      <c r="B158" s="61" t="s">
        <v>391</v>
      </c>
      <c r="C158" s="62">
        <f t="shared" si="16"/>
        <v>44922</v>
      </c>
      <c r="D158" s="62">
        <v>44922</v>
      </c>
      <c r="E158" s="63">
        <v>0.33333333333333331</v>
      </c>
      <c r="F158" s="60" t="s">
        <v>94</v>
      </c>
      <c r="G158" s="60" t="s">
        <v>113</v>
      </c>
      <c r="H158" s="61">
        <v>0</v>
      </c>
      <c r="I158" s="61">
        <v>1</v>
      </c>
      <c r="J158" s="61">
        <v>14</v>
      </c>
      <c r="K158" s="61">
        <v>15</v>
      </c>
      <c r="L158" s="61"/>
      <c r="M158" s="61" t="str" cm="1">
        <f t="array" ref="M158">_xlfn.IFS(WEEKDAY(N158,1)=1,"Sunday",WEEKDAY(N158,1)=2,"Monday",WEEKDAY(N158,1)=3,"Tuesday",WEEKDAY(N158,1)=4,"Wednesday",WEEKDAY(N158,1)=5,"Thursday",WEEKDAY(N158,1)=6,"Friday",WEEKDAY(N158,1)=7,"Saturday")</f>
        <v>Tuesday</v>
      </c>
      <c r="N158" s="62">
        <v>44922</v>
      </c>
      <c r="O158" s="63">
        <v>0.33333333333333331</v>
      </c>
      <c r="P158" s="60" t="s">
        <v>94</v>
      </c>
      <c r="Q158" s="60" t="s">
        <v>82</v>
      </c>
      <c r="R158" s="60" t="s">
        <v>119</v>
      </c>
      <c r="S158" s="68">
        <v>100</v>
      </c>
      <c r="T158" s="61">
        <v>14</v>
      </c>
      <c r="V158">
        <f t="shared" si="12"/>
        <v>10275</v>
      </c>
      <c r="W158" s="1">
        <f t="shared" si="13"/>
        <v>685</v>
      </c>
      <c r="X158">
        <f t="shared" si="14"/>
        <v>9</v>
      </c>
      <c r="Y158" s="55">
        <f t="shared" si="15"/>
        <v>1</v>
      </c>
    </row>
    <row r="159" spans="1:25" x14ac:dyDescent="0.25">
      <c r="A159" s="61" t="str" cm="1">
        <f t="array" ref="A159">_xlfn.IFS(WEEKDAY(C159,1)=1,"Sunday",WEEKDAY(C159,1)=2,"Monday",WEEKDAY(C159,1)=3,"Tuesday",WEEKDAY(C159,1)=4,"Wednesday",WEEKDAY(C159,1)=5,"Thursday",WEEKDAY(C159,1)=6,"Friday",WEEKDAY(C159,1)=7,"Saturday")</f>
        <v>Tuesday</v>
      </c>
      <c r="B159" s="61" t="s">
        <v>391</v>
      </c>
      <c r="C159" s="62">
        <f t="shared" si="16"/>
        <v>44922</v>
      </c>
      <c r="D159" s="62">
        <v>44922</v>
      </c>
      <c r="E159" s="63">
        <v>0.375</v>
      </c>
      <c r="F159" s="60" t="s">
        <v>94</v>
      </c>
      <c r="G159" s="60" t="s">
        <v>178</v>
      </c>
      <c r="H159" s="61">
        <v>5</v>
      </c>
      <c r="I159" s="61">
        <v>0</v>
      </c>
      <c r="J159" s="61">
        <v>30</v>
      </c>
      <c r="K159" s="61">
        <v>30</v>
      </c>
      <c r="L159" s="61"/>
      <c r="M159" s="61" t="str" cm="1">
        <f t="array" ref="M159">_xlfn.IFS(WEEKDAY(N159,1)=1,"Sunday",WEEKDAY(N159,1)=2,"Monday",WEEKDAY(N159,1)=3,"Tuesday",WEEKDAY(N159,1)=4,"Wednesday",WEEKDAY(N159,1)=5,"Thursday",WEEKDAY(N159,1)=6,"Friday",WEEKDAY(N159,1)=7,"Saturday")</f>
        <v>Tuesday</v>
      </c>
      <c r="N159" s="62">
        <v>44922</v>
      </c>
      <c r="O159" s="63">
        <v>0.375</v>
      </c>
      <c r="P159" s="60" t="s">
        <v>94</v>
      </c>
      <c r="Q159" s="60" t="s">
        <v>158</v>
      </c>
      <c r="R159" s="60" t="s">
        <v>315</v>
      </c>
      <c r="S159" s="68">
        <v>50</v>
      </c>
      <c r="T159" s="61">
        <v>30</v>
      </c>
      <c r="V159">
        <f t="shared" si="12"/>
        <v>25559.999999999996</v>
      </c>
      <c r="W159" s="1">
        <f t="shared" si="13"/>
        <v>851.99999999999989</v>
      </c>
      <c r="X159">
        <f t="shared" si="14"/>
        <v>161.00000000000003</v>
      </c>
      <c r="Y159" s="55">
        <f t="shared" si="15"/>
        <v>0.5</v>
      </c>
    </row>
    <row r="160" spans="1:25" x14ac:dyDescent="0.25">
      <c r="A160" s="61" t="str" cm="1">
        <f t="array" ref="A160">_xlfn.IFS(WEEKDAY(C160,1)=1,"Sunday",WEEKDAY(C160,1)=2,"Monday",WEEKDAY(C160,1)=3,"Tuesday",WEEKDAY(C160,1)=4,"Wednesday",WEEKDAY(C160,1)=5,"Thursday",WEEKDAY(C160,1)=6,"Friday",WEEKDAY(C160,1)=7,"Saturday")</f>
        <v>Tuesday</v>
      </c>
      <c r="B160" s="61" t="s">
        <v>391</v>
      </c>
      <c r="C160" s="62">
        <f t="shared" si="16"/>
        <v>44922</v>
      </c>
      <c r="D160" s="62">
        <v>44922</v>
      </c>
      <c r="E160" s="63">
        <v>0.41666666666666669</v>
      </c>
      <c r="F160" s="60" t="s">
        <v>94</v>
      </c>
      <c r="G160" s="60" t="s">
        <v>365</v>
      </c>
      <c r="H160" s="61">
        <v>7</v>
      </c>
      <c r="I160" s="61">
        <v>0</v>
      </c>
      <c r="J160" s="61">
        <v>42</v>
      </c>
      <c r="K160" s="61">
        <v>42</v>
      </c>
      <c r="L160" s="61"/>
      <c r="M160" s="61" t="str" cm="1">
        <f t="array" ref="M160">_xlfn.IFS(WEEKDAY(N160,1)=1,"Sunday",WEEKDAY(N160,1)=2,"Monday",WEEKDAY(N160,1)=3,"Tuesday",WEEKDAY(N160,1)=4,"Wednesday",WEEKDAY(N160,1)=5,"Thursday",WEEKDAY(N160,1)=6,"Friday",WEEKDAY(N160,1)=7,"Saturday")</f>
        <v>Tuesday</v>
      </c>
      <c r="N160" s="62">
        <v>44922</v>
      </c>
      <c r="O160" s="63">
        <v>0.41666666666666669</v>
      </c>
      <c r="P160" s="60" t="s">
        <v>94</v>
      </c>
      <c r="Q160" s="60" t="s">
        <v>251</v>
      </c>
      <c r="R160" s="60" t="s">
        <v>332</v>
      </c>
      <c r="S160" s="68">
        <v>47.619047619047613</v>
      </c>
      <c r="T160" s="61">
        <v>42</v>
      </c>
      <c r="V160">
        <f t="shared" si="12"/>
        <v>36582</v>
      </c>
      <c r="W160" s="1">
        <f t="shared" si="13"/>
        <v>871</v>
      </c>
      <c r="X160">
        <f t="shared" si="14"/>
        <v>155</v>
      </c>
      <c r="Y160" s="55">
        <f t="shared" si="15"/>
        <v>0.47619047619047611</v>
      </c>
    </row>
    <row r="161" spans="1:25" x14ac:dyDescent="0.25">
      <c r="A161" s="61" t="str" cm="1">
        <f t="array" ref="A161">_xlfn.IFS(WEEKDAY(C161,1)=1,"Sunday",WEEKDAY(C161,1)=2,"Monday",WEEKDAY(C161,1)=3,"Tuesday",WEEKDAY(C161,1)=4,"Wednesday",WEEKDAY(C161,1)=5,"Thursday",WEEKDAY(C161,1)=6,"Friday",WEEKDAY(C161,1)=7,"Saturday")</f>
        <v>Tuesday</v>
      </c>
      <c r="B161" s="61" t="s">
        <v>391</v>
      </c>
      <c r="C161" s="62">
        <f t="shared" si="16"/>
        <v>44922</v>
      </c>
      <c r="D161" s="62">
        <v>44922</v>
      </c>
      <c r="E161" s="63">
        <v>0.45833333333333331</v>
      </c>
      <c r="F161" s="60" t="s">
        <v>94</v>
      </c>
      <c r="G161" s="60" t="s">
        <v>113</v>
      </c>
      <c r="H161" s="61">
        <v>2</v>
      </c>
      <c r="I161" s="61">
        <v>0</v>
      </c>
      <c r="J161" s="61">
        <v>45</v>
      </c>
      <c r="K161" s="61">
        <v>45</v>
      </c>
      <c r="L161" s="61"/>
      <c r="M161" s="61" t="str" cm="1">
        <f t="array" ref="M161">_xlfn.IFS(WEEKDAY(N161,1)=1,"Sunday",WEEKDAY(N161,1)=2,"Monday",WEEKDAY(N161,1)=3,"Tuesday",WEEKDAY(N161,1)=4,"Wednesday",WEEKDAY(N161,1)=5,"Thursday",WEEKDAY(N161,1)=6,"Friday",WEEKDAY(N161,1)=7,"Saturday")</f>
        <v>Tuesday</v>
      </c>
      <c r="N161" s="62">
        <v>44922</v>
      </c>
      <c r="O161" s="63">
        <v>0.45833333333333331</v>
      </c>
      <c r="P161" s="60" t="s">
        <v>94</v>
      </c>
      <c r="Q161" s="60" t="s">
        <v>152</v>
      </c>
      <c r="R161" s="60" t="s">
        <v>119</v>
      </c>
      <c r="S161" s="68">
        <v>95.555555555555557</v>
      </c>
      <c r="T161" s="61">
        <v>45</v>
      </c>
      <c r="V161">
        <f t="shared" si="12"/>
        <v>36945.000000000007</v>
      </c>
      <c r="W161" s="1">
        <f t="shared" si="13"/>
        <v>821.00000000000011</v>
      </c>
      <c r="X161">
        <f t="shared" si="14"/>
        <v>9</v>
      </c>
      <c r="Y161" s="55">
        <f t="shared" si="15"/>
        <v>0.9555555555555556</v>
      </c>
    </row>
    <row r="162" spans="1:25" x14ac:dyDescent="0.25">
      <c r="A162" s="61" t="str" cm="1">
        <f t="array" ref="A162">_xlfn.IFS(WEEKDAY(C162,1)=1,"Sunday",WEEKDAY(C162,1)=2,"Monday",WEEKDAY(C162,1)=3,"Tuesday",WEEKDAY(C162,1)=4,"Wednesday",WEEKDAY(C162,1)=5,"Thursday",WEEKDAY(C162,1)=6,"Friday",WEEKDAY(C162,1)=7,"Saturday")</f>
        <v>Tuesday</v>
      </c>
      <c r="B162" s="61" t="s">
        <v>391</v>
      </c>
      <c r="C162" s="62">
        <f t="shared" si="16"/>
        <v>44922</v>
      </c>
      <c r="D162" s="62">
        <v>44922</v>
      </c>
      <c r="E162" s="63">
        <v>0.5</v>
      </c>
      <c r="F162" s="60" t="s">
        <v>95</v>
      </c>
      <c r="G162" s="60" t="s">
        <v>111</v>
      </c>
      <c r="H162" s="61">
        <v>6</v>
      </c>
      <c r="I162" s="61">
        <v>0</v>
      </c>
      <c r="J162" s="61">
        <v>36</v>
      </c>
      <c r="K162" s="61">
        <v>36</v>
      </c>
      <c r="L162" s="61"/>
      <c r="M162" s="61" t="str" cm="1">
        <f t="array" ref="M162">_xlfn.IFS(WEEKDAY(N162,1)=1,"Sunday",WEEKDAY(N162,1)=2,"Monday",WEEKDAY(N162,1)=3,"Tuesday",WEEKDAY(N162,1)=4,"Wednesday",WEEKDAY(N162,1)=5,"Thursday",WEEKDAY(N162,1)=6,"Friday",WEEKDAY(N162,1)=7,"Saturday")</f>
        <v>Tuesday</v>
      </c>
      <c r="N162" s="62">
        <v>44922</v>
      </c>
      <c r="O162" s="63">
        <v>0.5</v>
      </c>
      <c r="P162" s="60" t="s">
        <v>95</v>
      </c>
      <c r="Q162" s="60" t="s">
        <v>76</v>
      </c>
      <c r="R162" s="60" t="s">
        <v>164</v>
      </c>
      <c r="S162" s="68">
        <v>86.111111111111114</v>
      </c>
      <c r="T162" s="61">
        <v>36</v>
      </c>
      <c r="V162">
        <f t="shared" si="12"/>
        <v>32400</v>
      </c>
      <c r="W162" s="1">
        <f t="shared" si="13"/>
        <v>900</v>
      </c>
      <c r="X162">
        <f t="shared" si="14"/>
        <v>16</v>
      </c>
      <c r="Y162" s="55">
        <f t="shared" ref="Y162:Y205" si="17">S162/100</f>
        <v>0.86111111111111116</v>
      </c>
    </row>
    <row r="163" spans="1:25" x14ac:dyDescent="0.25">
      <c r="A163" s="61" t="str" cm="1">
        <f t="array" ref="A163">_xlfn.IFS(WEEKDAY(C163,1)=1,"Sunday",WEEKDAY(C163,1)=2,"Monday",WEEKDAY(C163,1)=3,"Tuesday",WEEKDAY(C163,1)=4,"Wednesday",WEEKDAY(C163,1)=5,"Thursday",WEEKDAY(C163,1)=6,"Friday",WEEKDAY(C163,1)=7,"Saturday")</f>
        <v>Tuesday</v>
      </c>
      <c r="B163" s="61" t="s">
        <v>391</v>
      </c>
      <c r="C163" s="62">
        <f t="shared" si="16"/>
        <v>44922</v>
      </c>
      <c r="D163" s="62">
        <v>44922</v>
      </c>
      <c r="E163" s="63">
        <v>4.1666666666666664E-2</v>
      </c>
      <c r="F163" s="60" t="s">
        <v>95</v>
      </c>
      <c r="G163" s="60" t="s">
        <v>334</v>
      </c>
      <c r="H163" s="61">
        <v>4</v>
      </c>
      <c r="I163" s="61">
        <v>0</v>
      </c>
      <c r="J163" s="61">
        <v>40</v>
      </c>
      <c r="K163" s="61">
        <v>40</v>
      </c>
      <c r="L163" s="61"/>
      <c r="M163" s="61" t="str" cm="1">
        <f t="array" ref="M163">_xlfn.IFS(WEEKDAY(N163,1)=1,"Sunday",WEEKDAY(N163,1)=2,"Monday",WEEKDAY(N163,1)=3,"Tuesday",WEEKDAY(N163,1)=4,"Wednesday",WEEKDAY(N163,1)=5,"Thursday",WEEKDAY(N163,1)=6,"Friday",WEEKDAY(N163,1)=7,"Saturday")</f>
        <v>Tuesday</v>
      </c>
      <c r="N163" s="62">
        <v>44922</v>
      </c>
      <c r="O163" s="63">
        <v>4.1666666666666664E-2</v>
      </c>
      <c r="P163" s="60" t="s">
        <v>95</v>
      </c>
      <c r="Q163" s="60" t="s">
        <v>333</v>
      </c>
      <c r="R163" s="60" t="s">
        <v>334</v>
      </c>
      <c r="S163" s="68">
        <v>67.5</v>
      </c>
      <c r="T163" s="61">
        <v>40</v>
      </c>
      <c r="V163">
        <f t="shared" si="12"/>
        <v>44640</v>
      </c>
      <c r="W163" s="1">
        <f t="shared" si="13"/>
        <v>1116</v>
      </c>
      <c r="X163">
        <f t="shared" si="14"/>
        <v>56.999999999999993</v>
      </c>
      <c r="Y163" s="55">
        <f t="shared" si="17"/>
        <v>0.67500000000000004</v>
      </c>
    </row>
    <row r="164" spans="1:25" x14ac:dyDescent="0.25">
      <c r="A164" s="61" t="str" cm="1">
        <f t="array" ref="A164">_xlfn.IFS(WEEKDAY(C164,1)=1,"Sunday",WEEKDAY(C164,1)=2,"Monday",WEEKDAY(C164,1)=3,"Tuesday",WEEKDAY(C164,1)=4,"Wednesday",WEEKDAY(C164,1)=5,"Thursday",WEEKDAY(C164,1)=6,"Friday",WEEKDAY(C164,1)=7,"Saturday")</f>
        <v>Tuesday</v>
      </c>
      <c r="B164" s="61" t="s">
        <v>391</v>
      </c>
      <c r="C164" s="62">
        <f t="shared" si="16"/>
        <v>44922</v>
      </c>
      <c r="D164" s="62">
        <v>44922</v>
      </c>
      <c r="E164" s="63">
        <v>8.3333333333333329E-2</v>
      </c>
      <c r="F164" s="60" t="s">
        <v>95</v>
      </c>
      <c r="G164" s="60" t="s">
        <v>197</v>
      </c>
      <c r="H164" s="61">
        <v>4</v>
      </c>
      <c r="I164" s="61">
        <v>1</v>
      </c>
      <c r="J164" s="61">
        <v>44</v>
      </c>
      <c r="K164" s="61">
        <v>45</v>
      </c>
      <c r="L164" s="61"/>
      <c r="M164" s="61" t="str" cm="1">
        <f t="array" ref="M164">_xlfn.IFS(WEEKDAY(N164,1)=1,"Sunday",WEEKDAY(N164,1)=2,"Monday",WEEKDAY(N164,1)=3,"Tuesday",WEEKDAY(N164,1)=4,"Wednesday",WEEKDAY(N164,1)=5,"Thursday",WEEKDAY(N164,1)=6,"Friday",WEEKDAY(N164,1)=7,"Saturday")</f>
        <v>Tuesday</v>
      </c>
      <c r="N164" s="62">
        <v>44922</v>
      </c>
      <c r="O164" s="63">
        <v>8.3333333333333329E-2</v>
      </c>
      <c r="P164" s="60" t="s">
        <v>95</v>
      </c>
      <c r="Q164" s="60" t="s">
        <v>335</v>
      </c>
      <c r="R164" s="60" t="s">
        <v>172</v>
      </c>
      <c r="S164" s="68">
        <v>72.727272727272734</v>
      </c>
      <c r="T164" s="61">
        <v>44</v>
      </c>
      <c r="V164">
        <f t="shared" si="12"/>
        <v>50174.999999999993</v>
      </c>
      <c r="W164" s="1">
        <f t="shared" si="13"/>
        <v>1114.9999999999998</v>
      </c>
      <c r="X164">
        <f t="shared" si="14"/>
        <v>66</v>
      </c>
      <c r="Y164" s="55">
        <f t="shared" si="17"/>
        <v>0.72727272727272729</v>
      </c>
    </row>
    <row r="165" spans="1:25" x14ac:dyDescent="0.25">
      <c r="A165" s="61" t="str" cm="1">
        <f t="array" ref="A165">_xlfn.IFS(WEEKDAY(C165,1)=1,"Sunday",WEEKDAY(C165,1)=2,"Monday",WEEKDAY(C165,1)=3,"Tuesday",WEEKDAY(C165,1)=4,"Wednesday",WEEKDAY(C165,1)=5,"Thursday",WEEKDAY(C165,1)=6,"Friday",WEEKDAY(C165,1)=7,"Saturday")</f>
        <v>Tuesday</v>
      </c>
      <c r="B165" s="61" t="s">
        <v>391</v>
      </c>
      <c r="C165" s="62">
        <f t="shared" si="16"/>
        <v>44922</v>
      </c>
      <c r="D165" s="62">
        <v>44922</v>
      </c>
      <c r="E165" s="63">
        <v>0.125</v>
      </c>
      <c r="F165" s="60" t="s">
        <v>95</v>
      </c>
      <c r="G165" s="60" t="s">
        <v>92</v>
      </c>
      <c r="H165" s="61">
        <v>4</v>
      </c>
      <c r="I165" s="61">
        <v>0</v>
      </c>
      <c r="J165" s="61">
        <v>33</v>
      </c>
      <c r="K165" s="61">
        <v>33</v>
      </c>
      <c r="L165" s="61"/>
      <c r="M165" s="61" t="str" cm="1">
        <f t="array" ref="M165">_xlfn.IFS(WEEKDAY(N165,1)=1,"Sunday",WEEKDAY(N165,1)=2,"Monday",WEEKDAY(N165,1)=3,"Tuesday",WEEKDAY(N165,1)=4,"Wednesday",WEEKDAY(N165,1)=5,"Thursday",WEEKDAY(N165,1)=6,"Friday",WEEKDAY(N165,1)=7,"Saturday")</f>
        <v>Tuesday</v>
      </c>
      <c r="N165" s="62">
        <v>44922</v>
      </c>
      <c r="O165" s="63">
        <v>0.125</v>
      </c>
      <c r="P165" s="60" t="s">
        <v>95</v>
      </c>
      <c r="Q165" s="60" t="s">
        <v>250</v>
      </c>
      <c r="R165" s="60" t="s">
        <v>138</v>
      </c>
      <c r="S165" s="68">
        <v>90.909090909090907</v>
      </c>
      <c r="T165" s="61">
        <v>33</v>
      </c>
      <c r="V165">
        <f t="shared" si="12"/>
        <v>30392.999999999996</v>
      </c>
      <c r="W165" s="1">
        <f t="shared" si="13"/>
        <v>920.99999999999989</v>
      </c>
      <c r="X165">
        <f t="shared" si="14"/>
        <v>14</v>
      </c>
      <c r="Y165" s="55">
        <f t="shared" si="17"/>
        <v>0.90909090909090906</v>
      </c>
    </row>
    <row r="166" spans="1:25" x14ac:dyDescent="0.25">
      <c r="A166" s="61" t="str" cm="1">
        <f t="array" ref="A166">_xlfn.IFS(WEEKDAY(C166,1)=1,"Sunday",WEEKDAY(C166,1)=2,"Monday",WEEKDAY(C166,1)=3,"Tuesday",WEEKDAY(C166,1)=4,"Wednesday",WEEKDAY(C166,1)=5,"Thursday",WEEKDAY(C166,1)=6,"Friday",WEEKDAY(C166,1)=7,"Saturday")</f>
        <v>Tuesday</v>
      </c>
      <c r="B166" s="61" t="s">
        <v>391</v>
      </c>
      <c r="C166" s="62">
        <f t="shared" si="16"/>
        <v>44922</v>
      </c>
      <c r="D166" s="62">
        <v>44922</v>
      </c>
      <c r="E166" s="63">
        <v>0.16666666666666666</v>
      </c>
      <c r="F166" s="60" t="s">
        <v>95</v>
      </c>
      <c r="G166" s="60" t="s">
        <v>195</v>
      </c>
      <c r="H166" s="61">
        <v>5</v>
      </c>
      <c r="I166" s="61">
        <v>4</v>
      </c>
      <c r="J166" s="61">
        <v>20</v>
      </c>
      <c r="K166" s="61">
        <v>24</v>
      </c>
      <c r="L166" s="61"/>
      <c r="M166" s="61" t="str" cm="1">
        <f t="array" ref="M166">_xlfn.IFS(WEEKDAY(N166,1)=1,"Sunday",WEEKDAY(N166,1)=2,"Monday",WEEKDAY(N166,1)=3,"Tuesday",WEEKDAY(N166,1)=4,"Wednesday",WEEKDAY(N166,1)=5,"Thursday",WEEKDAY(N166,1)=6,"Friday",WEEKDAY(N166,1)=7,"Saturday")</f>
        <v>Tuesday</v>
      </c>
      <c r="N166" s="62">
        <v>44922</v>
      </c>
      <c r="O166" s="63">
        <v>0.16666666666666666</v>
      </c>
      <c r="P166" s="60" t="s">
        <v>95</v>
      </c>
      <c r="Q166" s="60" t="s">
        <v>336</v>
      </c>
      <c r="R166" s="60" t="s">
        <v>167</v>
      </c>
      <c r="S166" s="68">
        <v>55.000000000000007</v>
      </c>
      <c r="T166" s="61">
        <v>20</v>
      </c>
      <c r="V166">
        <f t="shared" si="12"/>
        <v>27000</v>
      </c>
      <c r="W166" s="1">
        <f t="shared" si="13"/>
        <v>1125</v>
      </c>
      <c r="X166">
        <f t="shared" si="14"/>
        <v>177.00000000000003</v>
      </c>
      <c r="Y166" s="55">
        <f t="shared" si="17"/>
        <v>0.55000000000000004</v>
      </c>
    </row>
    <row r="167" spans="1:25" x14ac:dyDescent="0.25">
      <c r="A167" s="61" t="str" cm="1">
        <f t="array" ref="A167">_xlfn.IFS(WEEKDAY(C167,1)=1,"Sunday",WEEKDAY(C167,1)=2,"Monday",WEEKDAY(C167,1)=3,"Tuesday",WEEKDAY(C167,1)=4,"Wednesday",WEEKDAY(C167,1)=5,"Thursday",WEEKDAY(C167,1)=6,"Friday",WEEKDAY(C167,1)=7,"Saturday")</f>
        <v>Wednesday</v>
      </c>
      <c r="B167" s="61" t="s">
        <v>391</v>
      </c>
      <c r="C167" s="62">
        <f t="shared" si="16"/>
        <v>44923</v>
      </c>
      <c r="D167" s="62">
        <v>44923</v>
      </c>
      <c r="E167" s="63">
        <v>0.33333333333333331</v>
      </c>
      <c r="F167" s="60" t="s">
        <v>94</v>
      </c>
      <c r="G167" s="60" t="s">
        <v>119</v>
      </c>
      <c r="H167" s="61">
        <v>0</v>
      </c>
      <c r="I167" s="61">
        <v>0</v>
      </c>
      <c r="J167" s="61">
        <v>2</v>
      </c>
      <c r="K167" s="61">
        <v>2</v>
      </c>
      <c r="L167" s="61"/>
      <c r="M167" s="61" t="str" cm="1">
        <f t="array" ref="M167">_xlfn.IFS(WEEKDAY(N167,1)=1,"Sunday",WEEKDAY(N167,1)=2,"Monday",WEEKDAY(N167,1)=3,"Tuesday",WEEKDAY(N167,1)=4,"Wednesday",WEEKDAY(N167,1)=5,"Thursday",WEEKDAY(N167,1)=6,"Friday",WEEKDAY(N167,1)=7,"Saturday")</f>
        <v>Wednesday</v>
      </c>
      <c r="N167" s="62">
        <v>44923</v>
      </c>
      <c r="O167" s="63">
        <v>0.33333333333333331</v>
      </c>
      <c r="P167" s="60" t="s">
        <v>94</v>
      </c>
      <c r="Q167" s="60" t="s">
        <v>337</v>
      </c>
      <c r="R167" s="60" t="s">
        <v>118</v>
      </c>
      <c r="S167" s="68">
        <v>100</v>
      </c>
      <c r="T167" s="61">
        <v>2</v>
      </c>
      <c r="V167">
        <f t="shared" si="12"/>
        <v>3360</v>
      </c>
      <c r="W167" s="1">
        <f t="shared" si="13"/>
        <v>1680</v>
      </c>
      <c r="X167">
        <f t="shared" si="14"/>
        <v>8</v>
      </c>
      <c r="Y167" s="55">
        <f t="shared" si="17"/>
        <v>1</v>
      </c>
    </row>
    <row r="168" spans="1:25" x14ac:dyDescent="0.25">
      <c r="A168" s="61" t="str" cm="1">
        <f t="array" ref="A168">_xlfn.IFS(WEEKDAY(C168,1)=1,"Sunday",WEEKDAY(C168,1)=2,"Monday",WEEKDAY(C168,1)=3,"Tuesday",WEEKDAY(C168,1)=4,"Wednesday",WEEKDAY(C168,1)=5,"Thursday",WEEKDAY(C168,1)=6,"Friday",WEEKDAY(C168,1)=7,"Saturday")</f>
        <v>Wednesday</v>
      </c>
      <c r="B168" s="61" t="s">
        <v>391</v>
      </c>
      <c r="C168" s="62">
        <f t="shared" si="16"/>
        <v>44923</v>
      </c>
      <c r="D168" s="62">
        <v>44923</v>
      </c>
      <c r="E168" s="63">
        <v>0.375</v>
      </c>
      <c r="F168" s="60" t="s">
        <v>94</v>
      </c>
      <c r="G168" s="60" t="s">
        <v>173</v>
      </c>
      <c r="H168" s="61">
        <v>1</v>
      </c>
      <c r="I168" s="61">
        <v>1</v>
      </c>
      <c r="J168" s="61">
        <v>25</v>
      </c>
      <c r="K168" s="61">
        <v>26</v>
      </c>
      <c r="L168" s="61"/>
      <c r="M168" s="61" t="str" cm="1">
        <f t="array" ref="M168">_xlfn.IFS(WEEKDAY(N168,1)=1,"Sunday",WEEKDAY(N168,1)=2,"Monday",WEEKDAY(N168,1)=3,"Tuesday",WEEKDAY(N168,1)=4,"Wednesday",WEEKDAY(N168,1)=5,"Thursday",WEEKDAY(N168,1)=6,"Friday",WEEKDAY(N168,1)=7,"Saturday")</f>
        <v>Wednesday</v>
      </c>
      <c r="N168" s="62">
        <v>44923</v>
      </c>
      <c r="O168" s="63">
        <v>0.375</v>
      </c>
      <c r="P168" s="60" t="s">
        <v>94</v>
      </c>
      <c r="Q168" s="60" t="s">
        <v>269</v>
      </c>
      <c r="R168" s="60" t="s">
        <v>338</v>
      </c>
      <c r="S168" s="68">
        <v>72</v>
      </c>
      <c r="T168" s="61">
        <v>25</v>
      </c>
      <c r="V168">
        <f t="shared" si="12"/>
        <v>28262</v>
      </c>
      <c r="W168" s="1">
        <f t="shared" si="13"/>
        <v>1087</v>
      </c>
      <c r="X168">
        <f t="shared" si="14"/>
        <v>68</v>
      </c>
      <c r="Y168" s="55">
        <f t="shared" si="17"/>
        <v>0.72</v>
      </c>
    </row>
    <row r="169" spans="1:25" x14ac:dyDescent="0.25">
      <c r="A169" s="61" t="str" cm="1">
        <f t="array" ref="A169">_xlfn.IFS(WEEKDAY(C169,1)=1,"Sunday",WEEKDAY(C169,1)=2,"Monday",WEEKDAY(C169,1)=3,"Tuesday",WEEKDAY(C169,1)=4,"Wednesday",WEEKDAY(C169,1)=5,"Thursday",WEEKDAY(C169,1)=6,"Friday",WEEKDAY(C169,1)=7,"Saturday")</f>
        <v>Wednesday</v>
      </c>
      <c r="B169" s="61" t="s">
        <v>391</v>
      </c>
      <c r="C169" s="62">
        <f t="shared" si="16"/>
        <v>44923</v>
      </c>
      <c r="D169" s="62">
        <v>44923</v>
      </c>
      <c r="E169" s="63">
        <v>0.41666666666666669</v>
      </c>
      <c r="F169" s="60" t="s">
        <v>94</v>
      </c>
      <c r="G169" s="60" t="s">
        <v>118</v>
      </c>
      <c r="H169" s="61">
        <v>0</v>
      </c>
      <c r="I169" s="61">
        <v>0</v>
      </c>
      <c r="J169" s="61">
        <v>27</v>
      </c>
      <c r="K169" s="61">
        <v>27</v>
      </c>
      <c r="L169" s="61"/>
      <c r="M169" s="61" t="str" cm="1">
        <f t="array" ref="M169">_xlfn.IFS(WEEKDAY(N169,1)=1,"Sunday",WEEKDAY(N169,1)=2,"Monday",WEEKDAY(N169,1)=3,"Tuesday",WEEKDAY(N169,1)=4,"Wednesday",WEEKDAY(N169,1)=5,"Thursday",WEEKDAY(N169,1)=6,"Friday",WEEKDAY(N169,1)=7,"Saturday")</f>
        <v>Wednesday</v>
      </c>
      <c r="N169" s="62">
        <v>44923</v>
      </c>
      <c r="O169" s="63">
        <v>0.41666666666666669</v>
      </c>
      <c r="P169" s="60" t="s">
        <v>94</v>
      </c>
      <c r="Q169" s="60" t="s">
        <v>66</v>
      </c>
      <c r="R169" s="60" t="s">
        <v>150</v>
      </c>
      <c r="S169" s="68">
        <v>100</v>
      </c>
      <c r="T169" s="61">
        <v>27</v>
      </c>
      <c r="V169">
        <f t="shared" si="12"/>
        <v>20033.999999999996</v>
      </c>
      <c r="W169" s="1">
        <f t="shared" si="13"/>
        <v>741.99999999999989</v>
      </c>
      <c r="X169">
        <f t="shared" si="14"/>
        <v>7</v>
      </c>
      <c r="Y169" s="55">
        <f t="shared" si="17"/>
        <v>1</v>
      </c>
    </row>
    <row r="170" spans="1:25" x14ac:dyDescent="0.25">
      <c r="A170" s="61" t="str" cm="1">
        <f t="array" ref="A170">_xlfn.IFS(WEEKDAY(C170,1)=1,"Sunday",WEEKDAY(C170,1)=2,"Monday",WEEKDAY(C170,1)=3,"Tuesday",WEEKDAY(C170,1)=4,"Wednesday",WEEKDAY(C170,1)=5,"Thursday",WEEKDAY(C170,1)=6,"Friday",WEEKDAY(C170,1)=7,"Saturday")</f>
        <v>Wednesday</v>
      </c>
      <c r="B170" s="61" t="s">
        <v>391</v>
      </c>
      <c r="C170" s="62">
        <f t="shared" si="16"/>
        <v>44923</v>
      </c>
      <c r="D170" s="62">
        <v>44923</v>
      </c>
      <c r="E170" s="63">
        <v>0.45833333333333331</v>
      </c>
      <c r="F170" s="60" t="s">
        <v>94</v>
      </c>
      <c r="G170" s="60" t="s">
        <v>118</v>
      </c>
      <c r="H170" s="61">
        <v>0</v>
      </c>
      <c r="I170" s="61">
        <v>0</v>
      </c>
      <c r="J170" s="61">
        <v>40</v>
      </c>
      <c r="K170" s="61">
        <v>40</v>
      </c>
      <c r="L170" s="61"/>
      <c r="M170" s="61" t="str" cm="1">
        <f t="array" ref="M170">_xlfn.IFS(WEEKDAY(N170,1)=1,"Sunday",WEEKDAY(N170,1)=2,"Monday",WEEKDAY(N170,1)=3,"Tuesday",WEEKDAY(N170,1)=4,"Wednesday",WEEKDAY(N170,1)=5,"Thursday",WEEKDAY(N170,1)=6,"Friday",WEEKDAY(N170,1)=7,"Saturday")</f>
        <v>Wednesday</v>
      </c>
      <c r="N170" s="62">
        <v>44923</v>
      </c>
      <c r="O170" s="63">
        <v>0.45833333333333331</v>
      </c>
      <c r="P170" s="60" t="s">
        <v>94</v>
      </c>
      <c r="Q170" s="60" t="s">
        <v>310</v>
      </c>
      <c r="R170" s="60" t="s">
        <v>150</v>
      </c>
      <c r="S170" s="68">
        <v>100</v>
      </c>
      <c r="T170" s="61">
        <v>40</v>
      </c>
      <c r="V170">
        <f t="shared" si="12"/>
        <v>40240</v>
      </c>
      <c r="W170" s="1">
        <f t="shared" si="13"/>
        <v>1006</v>
      </c>
      <c r="X170">
        <f t="shared" si="14"/>
        <v>7</v>
      </c>
      <c r="Y170" s="55">
        <f t="shared" si="17"/>
        <v>1</v>
      </c>
    </row>
    <row r="171" spans="1:25" x14ac:dyDescent="0.25">
      <c r="A171" s="61" t="str" cm="1">
        <f t="array" ref="A171">_xlfn.IFS(WEEKDAY(C171,1)=1,"Sunday",WEEKDAY(C171,1)=2,"Monday",WEEKDAY(C171,1)=3,"Tuesday",WEEKDAY(C171,1)=4,"Wednesday",WEEKDAY(C171,1)=5,"Thursday",WEEKDAY(C171,1)=6,"Friday",WEEKDAY(C171,1)=7,"Saturday")</f>
        <v>Wednesday</v>
      </c>
      <c r="B171" s="61" t="s">
        <v>391</v>
      </c>
      <c r="C171" s="62">
        <f t="shared" si="16"/>
        <v>44923</v>
      </c>
      <c r="D171" s="62">
        <v>44923</v>
      </c>
      <c r="E171" s="63">
        <v>0.5</v>
      </c>
      <c r="F171" s="60" t="s">
        <v>95</v>
      </c>
      <c r="G171" s="60" t="s">
        <v>130</v>
      </c>
      <c r="H171" s="61">
        <v>2</v>
      </c>
      <c r="I171" s="61">
        <v>0</v>
      </c>
      <c r="J171" s="61">
        <v>33</v>
      </c>
      <c r="K171" s="61">
        <v>33</v>
      </c>
      <c r="L171" s="61"/>
      <c r="M171" s="61" t="str" cm="1">
        <f t="array" ref="M171">_xlfn.IFS(WEEKDAY(N171,1)=1,"Sunday",WEEKDAY(N171,1)=2,"Monday",WEEKDAY(N171,1)=3,"Tuesday",WEEKDAY(N171,1)=4,"Wednesday",WEEKDAY(N171,1)=5,"Thursday",WEEKDAY(N171,1)=6,"Friday",WEEKDAY(N171,1)=7,"Saturday")</f>
        <v>Wednesday</v>
      </c>
      <c r="N171" s="62">
        <v>44923</v>
      </c>
      <c r="O171" s="63">
        <v>0.5</v>
      </c>
      <c r="P171" s="60" t="s">
        <v>95</v>
      </c>
      <c r="Q171" s="60" t="s">
        <v>115</v>
      </c>
      <c r="R171" s="60" t="s">
        <v>192</v>
      </c>
      <c r="S171" s="68">
        <v>87.878787878787875</v>
      </c>
      <c r="T171" s="61">
        <v>33</v>
      </c>
      <c r="V171">
        <f t="shared" si="12"/>
        <v>19371</v>
      </c>
      <c r="W171" s="1">
        <f t="shared" si="13"/>
        <v>587</v>
      </c>
      <c r="X171">
        <f t="shared" si="14"/>
        <v>25.000000000000004</v>
      </c>
      <c r="Y171" s="55">
        <f t="shared" si="17"/>
        <v>0.87878787878787878</v>
      </c>
    </row>
    <row r="172" spans="1:25" x14ac:dyDescent="0.25">
      <c r="A172" s="61" t="str" cm="1">
        <f t="array" ref="A172">_xlfn.IFS(WEEKDAY(C172,1)=1,"Sunday",WEEKDAY(C172,1)=2,"Monday",WEEKDAY(C172,1)=3,"Tuesday",WEEKDAY(C172,1)=4,"Wednesday",WEEKDAY(C172,1)=5,"Thursday",WEEKDAY(C172,1)=6,"Friday",WEEKDAY(C172,1)=7,"Saturday")</f>
        <v>Wednesday</v>
      </c>
      <c r="B172" s="61" t="s">
        <v>391</v>
      </c>
      <c r="C172" s="62">
        <f t="shared" si="16"/>
        <v>44923</v>
      </c>
      <c r="D172" s="62">
        <v>44923</v>
      </c>
      <c r="E172" s="63">
        <v>4.1666666666666664E-2</v>
      </c>
      <c r="F172" s="60" t="s">
        <v>95</v>
      </c>
      <c r="G172" s="60" t="s">
        <v>151</v>
      </c>
      <c r="H172" s="61">
        <v>1</v>
      </c>
      <c r="I172" s="61">
        <v>0</v>
      </c>
      <c r="J172" s="61">
        <v>36</v>
      </c>
      <c r="K172" s="61">
        <v>36</v>
      </c>
      <c r="L172" s="61"/>
      <c r="M172" s="61" t="str" cm="1">
        <f t="array" ref="M172">_xlfn.IFS(WEEKDAY(N172,1)=1,"Sunday",WEEKDAY(N172,1)=2,"Monday",WEEKDAY(N172,1)=3,"Tuesday",WEEKDAY(N172,1)=4,"Wednesday",WEEKDAY(N172,1)=5,"Thursday",WEEKDAY(N172,1)=6,"Friday",WEEKDAY(N172,1)=7,"Saturday")</f>
        <v>Wednesday</v>
      </c>
      <c r="N172" s="62">
        <v>44923</v>
      </c>
      <c r="O172" s="63">
        <v>4.1666666666666664E-2</v>
      </c>
      <c r="P172" s="60" t="s">
        <v>95</v>
      </c>
      <c r="Q172" s="60" t="s">
        <v>251</v>
      </c>
      <c r="R172" s="60" t="s">
        <v>151</v>
      </c>
      <c r="S172" s="68">
        <v>86.111111111111114</v>
      </c>
      <c r="T172" s="61">
        <v>36</v>
      </c>
      <c r="V172">
        <f t="shared" si="12"/>
        <v>31356</v>
      </c>
      <c r="W172" s="1">
        <f t="shared" si="13"/>
        <v>871</v>
      </c>
      <c r="X172">
        <f t="shared" si="14"/>
        <v>24</v>
      </c>
      <c r="Y172" s="55">
        <f t="shared" si="17"/>
        <v>0.86111111111111116</v>
      </c>
    </row>
    <row r="173" spans="1:25" x14ac:dyDescent="0.25">
      <c r="A173" s="61" t="str" cm="1">
        <f t="array" ref="A173">_xlfn.IFS(WEEKDAY(C173,1)=1,"Sunday",WEEKDAY(C173,1)=2,"Monday",WEEKDAY(C173,1)=3,"Tuesday",WEEKDAY(C173,1)=4,"Wednesday",WEEKDAY(C173,1)=5,"Thursday",WEEKDAY(C173,1)=6,"Friday",WEEKDAY(C173,1)=7,"Saturday")</f>
        <v>Wednesday</v>
      </c>
      <c r="B173" s="61" t="s">
        <v>391</v>
      </c>
      <c r="C173" s="62">
        <f t="shared" si="16"/>
        <v>44923</v>
      </c>
      <c r="D173" s="62">
        <v>44923</v>
      </c>
      <c r="E173" s="63">
        <v>8.3333333333333329E-2</v>
      </c>
      <c r="F173" s="60" t="s">
        <v>95</v>
      </c>
      <c r="G173" s="60" t="s">
        <v>188</v>
      </c>
      <c r="H173" s="61">
        <v>3</v>
      </c>
      <c r="I173" s="61">
        <v>0</v>
      </c>
      <c r="J173" s="61">
        <v>32</v>
      </c>
      <c r="K173" s="61">
        <v>32</v>
      </c>
      <c r="L173" s="61"/>
      <c r="M173" s="61" t="str" cm="1">
        <f t="array" ref="M173">_xlfn.IFS(WEEKDAY(N173,1)=1,"Sunday",WEEKDAY(N173,1)=2,"Monday",WEEKDAY(N173,1)=3,"Tuesday",WEEKDAY(N173,1)=4,"Wednesday",WEEKDAY(N173,1)=5,"Thursday",WEEKDAY(N173,1)=6,"Friday",WEEKDAY(N173,1)=7,"Saturday")</f>
        <v>Wednesday</v>
      </c>
      <c r="N173" s="62">
        <v>44923</v>
      </c>
      <c r="O173" s="63">
        <v>8.3333333333333329E-2</v>
      </c>
      <c r="P173" s="60" t="s">
        <v>95</v>
      </c>
      <c r="Q173" s="60" t="s">
        <v>245</v>
      </c>
      <c r="R173" s="60" t="s">
        <v>131</v>
      </c>
      <c r="S173" s="68">
        <v>87.5</v>
      </c>
      <c r="T173" s="61">
        <v>32</v>
      </c>
      <c r="V173">
        <f t="shared" si="12"/>
        <v>26432</v>
      </c>
      <c r="W173" s="1">
        <f t="shared" si="13"/>
        <v>826</v>
      </c>
      <c r="X173">
        <f t="shared" si="14"/>
        <v>18</v>
      </c>
      <c r="Y173" s="55">
        <f t="shared" si="17"/>
        <v>0.875</v>
      </c>
    </row>
    <row r="174" spans="1:25" x14ac:dyDescent="0.25">
      <c r="A174" s="61" t="str" cm="1">
        <f t="array" ref="A174">_xlfn.IFS(WEEKDAY(C174,1)=1,"Sunday",WEEKDAY(C174,1)=2,"Monday",WEEKDAY(C174,1)=3,"Tuesday",WEEKDAY(C174,1)=4,"Wednesday",WEEKDAY(C174,1)=5,"Thursday",WEEKDAY(C174,1)=6,"Friday",WEEKDAY(C174,1)=7,"Saturday")</f>
        <v>Wednesday</v>
      </c>
      <c r="B174" s="61" t="s">
        <v>391</v>
      </c>
      <c r="C174" s="62">
        <f t="shared" si="16"/>
        <v>44923</v>
      </c>
      <c r="D174" s="62">
        <v>44923</v>
      </c>
      <c r="E174" s="63">
        <v>0.125</v>
      </c>
      <c r="F174" s="60" t="s">
        <v>95</v>
      </c>
      <c r="G174" s="60" t="s">
        <v>345</v>
      </c>
      <c r="H174" s="61">
        <v>7</v>
      </c>
      <c r="I174" s="61">
        <v>7</v>
      </c>
      <c r="J174" s="61">
        <v>29</v>
      </c>
      <c r="K174" s="61">
        <v>36</v>
      </c>
      <c r="L174" s="61"/>
      <c r="M174" s="61" t="str" cm="1">
        <f t="array" ref="M174">_xlfn.IFS(WEEKDAY(N174,1)=1,"Sunday",WEEKDAY(N174,1)=2,"Monday",WEEKDAY(N174,1)=3,"Tuesday",WEEKDAY(N174,1)=4,"Wednesday",WEEKDAY(N174,1)=5,"Thursday",WEEKDAY(N174,1)=6,"Friday",WEEKDAY(N174,1)=7,"Saturday")</f>
        <v>Wednesday</v>
      </c>
      <c r="N174" s="62">
        <v>44923</v>
      </c>
      <c r="O174" s="63">
        <v>0.125</v>
      </c>
      <c r="P174" s="60" t="s">
        <v>95</v>
      </c>
      <c r="Q174" s="60" t="s">
        <v>166</v>
      </c>
      <c r="R174" s="60" t="s">
        <v>234</v>
      </c>
      <c r="S174" s="68">
        <v>58.620689655172406</v>
      </c>
      <c r="T174" s="61">
        <v>29</v>
      </c>
      <c r="V174">
        <f t="shared" si="12"/>
        <v>33120.000000000007</v>
      </c>
      <c r="W174" s="1">
        <f t="shared" si="13"/>
        <v>920.00000000000011</v>
      </c>
      <c r="X174">
        <f t="shared" si="14"/>
        <v>199</v>
      </c>
      <c r="Y174" s="55">
        <f t="shared" si="17"/>
        <v>0.58620689655172409</v>
      </c>
    </row>
    <row r="175" spans="1:25" x14ac:dyDescent="0.25">
      <c r="A175" s="61" t="str" cm="1">
        <f t="array" ref="A175">_xlfn.IFS(WEEKDAY(C175,1)=1,"Sunday",WEEKDAY(C175,1)=2,"Monday",WEEKDAY(C175,1)=3,"Tuesday",WEEKDAY(C175,1)=4,"Wednesday",WEEKDAY(C175,1)=5,"Thursday",WEEKDAY(C175,1)=6,"Friday",WEEKDAY(C175,1)=7,"Saturday")</f>
        <v>Wednesday</v>
      </c>
      <c r="B175" s="61" t="s">
        <v>391</v>
      </c>
      <c r="C175" s="62">
        <f t="shared" si="16"/>
        <v>44923</v>
      </c>
      <c r="D175" s="62">
        <v>44923</v>
      </c>
      <c r="E175" s="63">
        <v>0.16666666666666666</v>
      </c>
      <c r="F175" s="60" t="s">
        <v>95</v>
      </c>
      <c r="G175" s="60" t="s">
        <v>331</v>
      </c>
      <c r="H175" s="61">
        <v>4</v>
      </c>
      <c r="I175" s="61">
        <v>5</v>
      </c>
      <c r="J175" s="61">
        <v>33</v>
      </c>
      <c r="K175" s="61">
        <v>38</v>
      </c>
      <c r="L175" s="61"/>
      <c r="M175" s="61" t="str" cm="1">
        <f t="array" ref="M175">_xlfn.IFS(WEEKDAY(N175,1)=1,"Sunday",WEEKDAY(N175,1)=2,"Monday",WEEKDAY(N175,1)=3,"Tuesday",WEEKDAY(N175,1)=4,"Wednesday",WEEKDAY(N175,1)=5,"Thursday",WEEKDAY(N175,1)=6,"Friday",WEEKDAY(N175,1)=7,"Saturday")</f>
        <v>Wednesday</v>
      </c>
      <c r="N175" s="62">
        <v>44923</v>
      </c>
      <c r="O175" s="63">
        <v>0.16666666666666666</v>
      </c>
      <c r="P175" s="60" t="s">
        <v>95</v>
      </c>
      <c r="Q175" s="60" t="s">
        <v>233</v>
      </c>
      <c r="R175" s="60" t="s">
        <v>225</v>
      </c>
      <c r="S175" s="68">
        <v>36.363636363636367</v>
      </c>
      <c r="T175" s="61">
        <v>33</v>
      </c>
      <c r="V175">
        <f t="shared" si="12"/>
        <v>30742</v>
      </c>
      <c r="W175" s="1">
        <f t="shared" si="13"/>
        <v>809</v>
      </c>
      <c r="X175">
        <f t="shared" si="14"/>
        <v>108</v>
      </c>
      <c r="Y175" s="55">
        <f t="shared" si="17"/>
        <v>0.36363636363636365</v>
      </c>
    </row>
    <row r="176" spans="1:25" x14ac:dyDescent="0.25">
      <c r="A176" s="61" t="str" cm="1">
        <f t="array" ref="A176">_xlfn.IFS(WEEKDAY(C176,1)=1,"Sunday",WEEKDAY(C176,1)=2,"Monday",WEEKDAY(C176,1)=3,"Tuesday",WEEKDAY(C176,1)=4,"Wednesday",WEEKDAY(C176,1)=5,"Thursday",WEEKDAY(C176,1)=6,"Friday",WEEKDAY(C176,1)=7,"Saturday")</f>
        <v>Thursday</v>
      </c>
      <c r="B176" s="61" t="s">
        <v>391</v>
      </c>
      <c r="C176" s="62">
        <f t="shared" si="16"/>
        <v>44924</v>
      </c>
      <c r="D176" s="62">
        <v>44924</v>
      </c>
      <c r="E176" s="63">
        <v>0.33333333333333331</v>
      </c>
      <c r="F176" s="60" t="s">
        <v>94</v>
      </c>
      <c r="G176" s="60" t="s">
        <v>129</v>
      </c>
      <c r="H176" s="61">
        <v>1</v>
      </c>
      <c r="I176" s="61">
        <v>0</v>
      </c>
      <c r="J176" s="61">
        <v>12</v>
      </c>
      <c r="K176" s="61">
        <v>12</v>
      </c>
      <c r="L176" s="61"/>
      <c r="M176" s="61" t="str" cm="1">
        <f t="array" ref="M176">_xlfn.IFS(WEEKDAY(N176,1)=1,"Sunday",WEEKDAY(N176,1)=2,"Monday",WEEKDAY(N176,1)=3,"Tuesday",WEEKDAY(N176,1)=4,"Wednesday",WEEKDAY(N176,1)=5,"Thursday",WEEKDAY(N176,1)=6,"Friday",WEEKDAY(N176,1)=7,"Saturday")</f>
        <v>Thursday</v>
      </c>
      <c r="N176" s="62">
        <v>44924</v>
      </c>
      <c r="O176" s="63">
        <v>0.33333333333333331</v>
      </c>
      <c r="P176" s="60" t="s">
        <v>94</v>
      </c>
      <c r="Q176" s="60" t="s">
        <v>222</v>
      </c>
      <c r="R176" s="60" t="s">
        <v>129</v>
      </c>
      <c r="S176" s="68">
        <v>91.666666666666657</v>
      </c>
      <c r="T176" s="61">
        <v>12</v>
      </c>
      <c r="V176">
        <f t="shared" si="12"/>
        <v>10380</v>
      </c>
      <c r="W176" s="1">
        <f t="shared" si="13"/>
        <v>865</v>
      </c>
      <c r="X176">
        <f t="shared" si="14"/>
        <v>27</v>
      </c>
      <c r="Y176" s="55">
        <f t="shared" si="17"/>
        <v>0.91666666666666652</v>
      </c>
    </row>
    <row r="177" spans="1:25" x14ac:dyDescent="0.25">
      <c r="A177" s="61" t="str" cm="1">
        <f t="array" ref="A177">_xlfn.IFS(WEEKDAY(C177,1)=1,"Sunday",WEEKDAY(C177,1)=2,"Monday",WEEKDAY(C177,1)=3,"Tuesday",WEEKDAY(C177,1)=4,"Wednesday",WEEKDAY(C177,1)=5,"Thursday",WEEKDAY(C177,1)=6,"Friday",WEEKDAY(C177,1)=7,"Saturday")</f>
        <v>Thursday</v>
      </c>
      <c r="B177" s="61" t="s">
        <v>391</v>
      </c>
      <c r="C177" s="62">
        <f t="shared" si="16"/>
        <v>44924</v>
      </c>
      <c r="D177" s="62">
        <v>44924</v>
      </c>
      <c r="E177" s="63">
        <v>0.375</v>
      </c>
      <c r="F177" s="60" t="s">
        <v>94</v>
      </c>
      <c r="G177" s="60" t="s">
        <v>138</v>
      </c>
      <c r="H177" s="61">
        <v>2</v>
      </c>
      <c r="I177" s="61">
        <v>0</v>
      </c>
      <c r="J177" s="61">
        <v>33</v>
      </c>
      <c r="K177" s="61">
        <v>33</v>
      </c>
      <c r="L177" s="61"/>
      <c r="M177" s="61" t="str" cm="1">
        <f t="array" ref="M177">_xlfn.IFS(WEEKDAY(N177,1)=1,"Sunday",WEEKDAY(N177,1)=2,"Monday",WEEKDAY(N177,1)=3,"Tuesday",WEEKDAY(N177,1)=4,"Wednesday",WEEKDAY(N177,1)=5,"Thursday",WEEKDAY(N177,1)=6,"Friday",WEEKDAY(N177,1)=7,"Saturday")</f>
        <v>Thursday</v>
      </c>
      <c r="N177" s="62">
        <v>44924</v>
      </c>
      <c r="O177" s="63">
        <v>0.375</v>
      </c>
      <c r="P177" s="60" t="s">
        <v>94</v>
      </c>
      <c r="Q177" s="60" t="s">
        <v>175</v>
      </c>
      <c r="R177" s="60" t="s">
        <v>138</v>
      </c>
      <c r="S177" s="68">
        <v>90.909090909090907</v>
      </c>
      <c r="T177" s="61">
        <v>33</v>
      </c>
      <c r="V177">
        <f t="shared" si="12"/>
        <v>32637.000000000004</v>
      </c>
      <c r="W177" s="1">
        <f t="shared" si="13"/>
        <v>989.00000000000011</v>
      </c>
      <c r="X177">
        <f t="shared" si="14"/>
        <v>14</v>
      </c>
      <c r="Y177" s="55">
        <f t="shared" si="17"/>
        <v>0.90909090909090906</v>
      </c>
    </row>
    <row r="178" spans="1:25" x14ac:dyDescent="0.25">
      <c r="A178" s="61" t="str" cm="1">
        <f t="array" ref="A178">_xlfn.IFS(WEEKDAY(C178,1)=1,"Sunday",WEEKDAY(C178,1)=2,"Monday",WEEKDAY(C178,1)=3,"Tuesday",WEEKDAY(C178,1)=4,"Wednesday",WEEKDAY(C178,1)=5,"Thursday",WEEKDAY(C178,1)=6,"Friday",WEEKDAY(C178,1)=7,"Saturday")</f>
        <v>Thursday</v>
      </c>
      <c r="B178" s="61" t="s">
        <v>391</v>
      </c>
      <c r="C178" s="62">
        <f t="shared" si="16"/>
        <v>44924</v>
      </c>
      <c r="D178" s="62">
        <v>44924</v>
      </c>
      <c r="E178" s="63">
        <v>0.41666666666666669</v>
      </c>
      <c r="F178" s="60" t="s">
        <v>94</v>
      </c>
      <c r="G178" s="60" t="s">
        <v>159</v>
      </c>
      <c r="H178" s="61">
        <v>1</v>
      </c>
      <c r="I178" s="61">
        <v>0</v>
      </c>
      <c r="J178" s="61">
        <v>43</v>
      </c>
      <c r="K178" s="61">
        <v>43</v>
      </c>
      <c r="L178" s="61"/>
      <c r="M178" s="61" t="str" cm="1">
        <f t="array" ref="M178">_xlfn.IFS(WEEKDAY(N178,1)=1,"Sunday",WEEKDAY(N178,1)=2,"Monday",WEEKDAY(N178,1)=3,"Tuesday",WEEKDAY(N178,1)=4,"Wednesday",WEEKDAY(N178,1)=5,"Thursday",WEEKDAY(N178,1)=6,"Friday",WEEKDAY(N178,1)=7,"Saturday")</f>
        <v>Thursday</v>
      </c>
      <c r="N178" s="62">
        <v>44924</v>
      </c>
      <c r="O178" s="63">
        <v>0.41666666666666669</v>
      </c>
      <c r="P178" s="60" t="s">
        <v>94</v>
      </c>
      <c r="Q178" s="60" t="s">
        <v>244</v>
      </c>
      <c r="R178" s="60" t="s">
        <v>126</v>
      </c>
      <c r="S178" s="68">
        <v>86.04651162790698</v>
      </c>
      <c r="T178" s="61">
        <v>43</v>
      </c>
      <c r="V178">
        <f t="shared" si="12"/>
        <v>40893</v>
      </c>
      <c r="W178" s="1">
        <f t="shared" si="13"/>
        <v>951</v>
      </c>
      <c r="X178">
        <f t="shared" si="14"/>
        <v>21.999999999999996</v>
      </c>
      <c r="Y178" s="55">
        <f t="shared" si="17"/>
        <v>0.86046511627906985</v>
      </c>
    </row>
    <row r="179" spans="1:25" x14ac:dyDescent="0.25">
      <c r="A179" s="61" t="str" cm="1">
        <f t="array" ref="A179">_xlfn.IFS(WEEKDAY(C179,1)=1,"Sunday",WEEKDAY(C179,1)=2,"Monday",WEEKDAY(C179,1)=3,"Tuesday",WEEKDAY(C179,1)=4,"Wednesday",WEEKDAY(C179,1)=5,"Thursday",WEEKDAY(C179,1)=6,"Friday",WEEKDAY(C179,1)=7,"Saturday")</f>
        <v>Thursday</v>
      </c>
      <c r="B179" s="61" t="s">
        <v>391</v>
      </c>
      <c r="C179" s="62">
        <f t="shared" si="16"/>
        <v>44924</v>
      </c>
      <c r="D179" s="62">
        <v>44924</v>
      </c>
      <c r="E179" s="63">
        <v>0.45833333333333331</v>
      </c>
      <c r="F179" s="60" t="s">
        <v>94</v>
      </c>
      <c r="G179" s="60" t="s">
        <v>150</v>
      </c>
      <c r="H179" s="61">
        <v>0</v>
      </c>
      <c r="I179" s="61">
        <v>0</v>
      </c>
      <c r="J179" s="61">
        <v>40</v>
      </c>
      <c r="K179" s="61">
        <v>40</v>
      </c>
      <c r="L179" s="61"/>
      <c r="M179" s="61" t="str" cm="1">
        <f t="array" ref="M179">_xlfn.IFS(WEEKDAY(N179,1)=1,"Sunday",WEEKDAY(N179,1)=2,"Monday",WEEKDAY(N179,1)=3,"Tuesday",WEEKDAY(N179,1)=4,"Wednesday",WEEKDAY(N179,1)=5,"Thursday",WEEKDAY(N179,1)=6,"Friday",WEEKDAY(N179,1)=7,"Saturday")</f>
        <v>Thursday</v>
      </c>
      <c r="N179" s="62">
        <v>44924</v>
      </c>
      <c r="O179" s="63">
        <v>0.45833333333333331</v>
      </c>
      <c r="P179" s="60" t="s">
        <v>94</v>
      </c>
      <c r="Q179" s="60" t="s">
        <v>168</v>
      </c>
      <c r="R179" s="60" t="s">
        <v>149</v>
      </c>
      <c r="S179" s="68">
        <v>100</v>
      </c>
      <c r="T179" s="61">
        <v>40</v>
      </c>
      <c r="V179">
        <f t="shared" si="12"/>
        <v>31599.999999999996</v>
      </c>
      <c r="W179" s="1">
        <f t="shared" si="13"/>
        <v>789.99999999999989</v>
      </c>
      <c r="X179">
        <f t="shared" si="14"/>
        <v>6</v>
      </c>
      <c r="Y179" s="55">
        <f t="shared" si="17"/>
        <v>1</v>
      </c>
    </row>
    <row r="180" spans="1:25" x14ac:dyDescent="0.25">
      <c r="A180" s="61" t="str" cm="1">
        <f t="array" ref="A180">_xlfn.IFS(WEEKDAY(C180,1)=1,"Sunday",WEEKDAY(C180,1)=2,"Monday",WEEKDAY(C180,1)=3,"Tuesday",WEEKDAY(C180,1)=4,"Wednesday",WEEKDAY(C180,1)=5,"Thursday",WEEKDAY(C180,1)=6,"Friday",WEEKDAY(C180,1)=7,"Saturday")</f>
        <v>Thursday</v>
      </c>
      <c r="B180" s="61" t="s">
        <v>391</v>
      </c>
      <c r="C180" s="62">
        <f t="shared" si="16"/>
        <v>44924</v>
      </c>
      <c r="D180" s="62">
        <v>44924</v>
      </c>
      <c r="E180" s="63">
        <v>0.5</v>
      </c>
      <c r="F180" s="60" t="s">
        <v>95</v>
      </c>
      <c r="G180" s="60" t="s">
        <v>155</v>
      </c>
      <c r="H180" s="61">
        <v>5</v>
      </c>
      <c r="I180" s="61">
        <v>2</v>
      </c>
      <c r="J180" s="61">
        <v>34</v>
      </c>
      <c r="K180" s="61">
        <v>36</v>
      </c>
      <c r="L180" s="61"/>
      <c r="M180" s="61" t="str" cm="1">
        <f t="array" ref="M180">_xlfn.IFS(WEEKDAY(N180,1)=1,"Sunday",WEEKDAY(N180,1)=2,"Monday",WEEKDAY(N180,1)=3,"Tuesday",WEEKDAY(N180,1)=4,"Wednesday",WEEKDAY(N180,1)=5,"Thursday",WEEKDAY(N180,1)=6,"Friday",WEEKDAY(N180,1)=7,"Saturday")</f>
        <v>Thursday</v>
      </c>
      <c r="N180" s="62">
        <v>44924</v>
      </c>
      <c r="O180" s="63">
        <v>0.5</v>
      </c>
      <c r="P180" s="60" t="s">
        <v>95</v>
      </c>
      <c r="Q180" s="60" t="s">
        <v>339</v>
      </c>
      <c r="R180" s="60" t="s">
        <v>169</v>
      </c>
      <c r="S180" s="68">
        <v>85.294117647058826</v>
      </c>
      <c r="T180" s="61">
        <v>34</v>
      </c>
      <c r="V180">
        <f t="shared" si="12"/>
        <v>42876.000000000007</v>
      </c>
      <c r="W180" s="1">
        <f t="shared" si="13"/>
        <v>1191.0000000000002</v>
      </c>
      <c r="X180">
        <f t="shared" si="14"/>
        <v>34</v>
      </c>
      <c r="Y180" s="55">
        <f t="shared" si="17"/>
        <v>0.85294117647058831</v>
      </c>
    </row>
    <row r="181" spans="1:25" x14ac:dyDescent="0.25">
      <c r="A181" s="61" t="str" cm="1">
        <f t="array" ref="A181">_xlfn.IFS(WEEKDAY(C181,1)=1,"Sunday",WEEKDAY(C181,1)=2,"Monday",WEEKDAY(C181,1)=3,"Tuesday",WEEKDAY(C181,1)=4,"Wednesday",WEEKDAY(C181,1)=5,"Thursday",WEEKDAY(C181,1)=6,"Friday",WEEKDAY(C181,1)=7,"Saturday")</f>
        <v>Thursday</v>
      </c>
      <c r="B181" s="61" t="s">
        <v>391</v>
      </c>
      <c r="C181" s="62">
        <f t="shared" si="16"/>
        <v>44924</v>
      </c>
      <c r="D181" s="62">
        <v>44924</v>
      </c>
      <c r="E181" s="63">
        <v>4.1666666666666664E-2</v>
      </c>
      <c r="F181" s="60" t="s">
        <v>95</v>
      </c>
      <c r="G181" s="60" t="s">
        <v>125</v>
      </c>
      <c r="H181" s="61">
        <v>2</v>
      </c>
      <c r="I181" s="61">
        <v>0</v>
      </c>
      <c r="J181" s="61">
        <v>37</v>
      </c>
      <c r="K181" s="61">
        <v>37</v>
      </c>
      <c r="L181" s="61"/>
      <c r="M181" s="61" t="str" cm="1">
        <f t="array" ref="M181">_xlfn.IFS(WEEKDAY(N181,1)=1,"Sunday",WEEKDAY(N181,1)=2,"Monday",WEEKDAY(N181,1)=3,"Tuesday",WEEKDAY(N181,1)=4,"Wednesday",WEEKDAY(N181,1)=5,"Thursday",WEEKDAY(N181,1)=6,"Friday",WEEKDAY(N181,1)=7,"Saturday")</f>
        <v>Thursday</v>
      </c>
      <c r="N181" s="62">
        <v>44924</v>
      </c>
      <c r="O181" s="63">
        <v>4.1666666666666664E-2</v>
      </c>
      <c r="P181" s="60" t="s">
        <v>95</v>
      </c>
      <c r="Q181" s="60" t="s">
        <v>158</v>
      </c>
      <c r="R181" s="60" t="s">
        <v>106</v>
      </c>
      <c r="S181" s="68">
        <v>94.594594594594597</v>
      </c>
      <c r="T181" s="61">
        <v>37</v>
      </c>
      <c r="V181">
        <f t="shared" si="12"/>
        <v>31523.999999999996</v>
      </c>
      <c r="W181" s="1">
        <f t="shared" si="13"/>
        <v>851.99999999999989</v>
      </c>
      <c r="X181">
        <f t="shared" si="14"/>
        <v>12</v>
      </c>
      <c r="Y181" s="55">
        <f t="shared" si="17"/>
        <v>0.94594594594594594</v>
      </c>
    </row>
    <row r="182" spans="1:25" x14ac:dyDescent="0.25">
      <c r="A182" s="61" t="str" cm="1">
        <f t="array" ref="A182">_xlfn.IFS(WEEKDAY(C182,1)=1,"Sunday",WEEKDAY(C182,1)=2,"Monday",WEEKDAY(C182,1)=3,"Tuesday",WEEKDAY(C182,1)=4,"Wednesday",WEEKDAY(C182,1)=5,"Thursday",WEEKDAY(C182,1)=6,"Friday",WEEKDAY(C182,1)=7,"Saturday")</f>
        <v>Thursday</v>
      </c>
      <c r="B182" s="61" t="s">
        <v>391</v>
      </c>
      <c r="C182" s="62">
        <f t="shared" si="16"/>
        <v>44924</v>
      </c>
      <c r="D182" s="62">
        <v>44924</v>
      </c>
      <c r="E182" s="63">
        <v>8.3333333333333329E-2</v>
      </c>
      <c r="F182" s="60" t="s">
        <v>95</v>
      </c>
      <c r="G182" s="60" t="s">
        <v>111</v>
      </c>
      <c r="H182" s="61">
        <v>2</v>
      </c>
      <c r="I182" s="61">
        <v>2</v>
      </c>
      <c r="J182" s="61">
        <v>40</v>
      </c>
      <c r="K182" s="61">
        <v>42</v>
      </c>
      <c r="L182" s="61"/>
      <c r="M182" s="61" t="str" cm="1">
        <f t="array" ref="M182">_xlfn.IFS(WEEKDAY(N182,1)=1,"Sunday",WEEKDAY(N182,1)=2,"Monday",WEEKDAY(N182,1)=3,"Tuesday",WEEKDAY(N182,1)=4,"Wednesday",WEEKDAY(N182,1)=5,"Thursday",WEEKDAY(N182,1)=6,"Friday",WEEKDAY(N182,1)=7,"Saturday")</f>
        <v>Thursday</v>
      </c>
      <c r="N182" s="62">
        <v>44924</v>
      </c>
      <c r="O182" s="63">
        <v>8.3333333333333329E-2</v>
      </c>
      <c r="P182" s="60" t="s">
        <v>95</v>
      </c>
      <c r="Q182" s="60" t="s">
        <v>90</v>
      </c>
      <c r="R182" s="60" t="s">
        <v>164</v>
      </c>
      <c r="S182" s="68">
        <v>92.5</v>
      </c>
      <c r="T182" s="61">
        <v>40</v>
      </c>
      <c r="V182">
        <f t="shared" si="12"/>
        <v>32676</v>
      </c>
      <c r="W182" s="1">
        <f t="shared" si="13"/>
        <v>778</v>
      </c>
      <c r="X182">
        <f t="shared" si="14"/>
        <v>16</v>
      </c>
      <c r="Y182" s="55">
        <f t="shared" si="17"/>
        <v>0.92500000000000004</v>
      </c>
    </row>
    <row r="183" spans="1:25" x14ac:dyDescent="0.25">
      <c r="A183" s="61" t="str" cm="1">
        <f t="array" ref="A183">_xlfn.IFS(WEEKDAY(C183,1)=1,"Sunday",WEEKDAY(C183,1)=2,"Monday",WEEKDAY(C183,1)=3,"Tuesday",WEEKDAY(C183,1)=4,"Wednesday",WEEKDAY(C183,1)=5,"Thursday",WEEKDAY(C183,1)=6,"Friday",WEEKDAY(C183,1)=7,"Saturday")</f>
        <v>Thursday</v>
      </c>
      <c r="B183" s="61" t="s">
        <v>391</v>
      </c>
      <c r="C183" s="62">
        <f t="shared" si="16"/>
        <v>44924</v>
      </c>
      <c r="D183" s="62">
        <v>44924</v>
      </c>
      <c r="E183" s="63">
        <v>0.125</v>
      </c>
      <c r="F183" s="60" t="s">
        <v>95</v>
      </c>
      <c r="G183" s="60" t="s">
        <v>193</v>
      </c>
      <c r="H183" s="61">
        <v>5</v>
      </c>
      <c r="I183" s="61">
        <v>2</v>
      </c>
      <c r="J183" s="61">
        <v>34</v>
      </c>
      <c r="K183" s="61">
        <v>36</v>
      </c>
      <c r="L183" s="61"/>
      <c r="M183" s="61" t="str" cm="1">
        <f t="array" ref="M183">_xlfn.IFS(WEEKDAY(N183,1)=1,"Sunday",WEEKDAY(N183,1)=2,"Monday",WEEKDAY(N183,1)=3,"Tuesday",WEEKDAY(N183,1)=4,"Wednesday",WEEKDAY(N183,1)=5,"Thursday",WEEKDAY(N183,1)=6,"Friday",WEEKDAY(N183,1)=7,"Saturday")</f>
        <v>Thursday</v>
      </c>
      <c r="N183" s="62">
        <v>44924</v>
      </c>
      <c r="O183" s="63">
        <v>0.125</v>
      </c>
      <c r="P183" s="60" t="s">
        <v>95</v>
      </c>
      <c r="Q183" s="60" t="s">
        <v>340</v>
      </c>
      <c r="R183" s="60" t="s">
        <v>163</v>
      </c>
      <c r="S183" s="68">
        <v>55.882352941176471</v>
      </c>
      <c r="T183" s="61">
        <v>34</v>
      </c>
      <c r="V183">
        <f t="shared" si="12"/>
        <v>27503.999999999996</v>
      </c>
      <c r="W183" s="1">
        <f t="shared" si="13"/>
        <v>763.99999999999989</v>
      </c>
      <c r="X183">
        <f t="shared" si="14"/>
        <v>118.99999999999999</v>
      </c>
      <c r="Y183" s="55">
        <f t="shared" si="17"/>
        <v>0.55882352941176472</v>
      </c>
    </row>
    <row r="184" spans="1:25" x14ac:dyDescent="0.25">
      <c r="A184" s="61" t="str" cm="1">
        <f t="array" ref="A184">_xlfn.IFS(WEEKDAY(C184,1)=1,"Sunday",WEEKDAY(C184,1)=2,"Monday",WEEKDAY(C184,1)=3,"Tuesday",WEEKDAY(C184,1)=4,"Wednesday",WEEKDAY(C184,1)=5,"Thursday",WEEKDAY(C184,1)=6,"Friday",WEEKDAY(C184,1)=7,"Saturday")</f>
        <v>Thursday</v>
      </c>
      <c r="B184" s="61" t="s">
        <v>391</v>
      </c>
      <c r="C184" s="62">
        <f t="shared" si="16"/>
        <v>44924</v>
      </c>
      <c r="D184" s="62">
        <v>44924</v>
      </c>
      <c r="E184" s="63">
        <v>0.16666666666666666</v>
      </c>
      <c r="F184" s="60" t="s">
        <v>95</v>
      </c>
      <c r="G184" s="60" t="s">
        <v>124</v>
      </c>
      <c r="H184" s="61">
        <v>2</v>
      </c>
      <c r="I184" s="61">
        <v>0</v>
      </c>
      <c r="J184" s="61">
        <v>26</v>
      </c>
      <c r="K184" s="61">
        <v>26</v>
      </c>
      <c r="L184" s="61"/>
      <c r="M184" s="61" t="str" cm="1">
        <f t="array" ref="M184">_xlfn.IFS(WEEKDAY(N184,1)=1,"Sunday",WEEKDAY(N184,1)=2,"Monday",WEEKDAY(N184,1)=3,"Tuesday",WEEKDAY(N184,1)=4,"Wednesday",WEEKDAY(N184,1)=5,"Thursday",WEEKDAY(N184,1)=6,"Friday",WEEKDAY(N184,1)=7,"Saturday")</f>
        <v>Thursday</v>
      </c>
      <c r="N184" s="62">
        <v>44924</v>
      </c>
      <c r="O184" s="63">
        <v>0.16666666666666666</v>
      </c>
      <c r="P184" s="60" t="s">
        <v>95</v>
      </c>
      <c r="Q184" s="60" t="s">
        <v>211</v>
      </c>
      <c r="R184" s="60" t="s">
        <v>113</v>
      </c>
      <c r="S184" s="68">
        <v>96.15384615384616</v>
      </c>
      <c r="T184" s="61">
        <v>26</v>
      </c>
      <c r="V184">
        <f t="shared" si="12"/>
        <v>16068.000000000004</v>
      </c>
      <c r="W184" s="1">
        <f t="shared" si="13"/>
        <v>618.00000000000011</v>
      </c>
      <c r="X184">
        <f t="shared" si="14"/>
        <v>10</v>
      </c>
      <c r="Y184" s="55">
        <f t="shared" si="17"/>
        <v>0.96153846153846156</v>
      </c>
    </row>
    <row r="185" spans="1:25" x14ac:dyDescent="0.25">
      <c r="A185" s="61" t="str" cm="1">
        <f t="array" ref="A185">_xlfn.IFS(WEEKDAY(C185,1)=1,"Sunday",WEEKDAY(C185,1)=2,"Monday",WEEKDAY(C185,1)=3,"Tuesday",WEEKDAY(C185,1)=4,"Wednesday",WEEKDAY(C185,1)=5,"Thursday",WEEKDAY(C185,1)=6,"Friday",WEEKDAY(C185,1)=7,"Saturday")</f>
        <v>Friday</v>
      </c>
      <c r="B185" s="61" t="s">
        <v>391</v>
      </c>
      <c r="C185" s="62">
        <f t="shared" si="16"/>
        <v>44925</v>
      </c>
      <c r="D185" s="62">
        <v>44925</v>
      </c>
      <c r="E185" s="63">
        <v>0.33333333333333331</v>
      </c>
      <c r="F185" s="60" t="s">
        <v>94</v>
      </c>
      <c r="G185" s="60" t="s">
        <v>164</v>
      </c>
      <c r="H185" s="61">
        <v>3</v>
      </c>
      <c r="I185" s="61">
        <v>3</v>
      </c>
      <c r="J185" s="61">
        <v>6</v>
      </c>
      <c r="K185" s="61">
        <v>9</v>
      </c>
      <c r="L185" s="61"/>
      <c r="M185" s="61" t="str" cm="1">
        <f t="array" ref="M185">_xlfn.IFS(WEEKDAY(N185,1)=1,"Sunday",WEEKDAY(N185,1)=2,"Monday",WEEKDAY(N185,1)=3,"Tuesday",WEEKDAY(N185,1)=4,"Wednesday",WEEKDAY(N185,1)=5,"Thursday",WEEKDAY(N185,1)=6,"Friday",WEEKDAY(N185,1)=7,"Saturday")</f>
        <v>Friday</v>
      </c>
      <c r="N185" s="62">
        <v>44925</v>
      </c>
      <c r="O185" s="63">
        <v>0.33333333333333331</v>
      </c>
      <c r="P185" s="60" t="s">
        <v>94</v>
      </c>
      <c r="Q185" s="60" t="s">
        <v>139</v>
      </c>
      <c r="R185" s="60" t="s">
        <v>92</v>
      </c>
      <c r="S185" s="68">
        <v>83.333333333333343</v>
      </c>
      <c r="T185" s="61">
        <v>6</v>
      </c>
      <c r="V185">
        <f t="shared" si="12"/>
        <v>8010.0000000000009</v>
      </c>
      <c r="W185" s="1">
        <f t="shared" si="13"/>
        <v>890.00000000000011</v>
      </c>
      <c r="X185">
        <f t="shared" si="14"/>
        <v>15</v>
      </c>
      <c r="Y185" s="55">
        <f t="shared" si="17"/>
        <v>0.83333333333333348</v>
      </c>
    </row>
    <row r="186" spans="1:25" x14ac:dyDescent="0.25">
      <c r="A186" s="61" t="str" cm="1">
        <f t="array" ref="A186">_xlfn.IFS(WEEKDAY(C186,1)=1,"Sunday",WEEKDAY(C186,1)=2,"Monday",WEEKDAY(C186,1)=3,"Tuesday",WEEKDAY(C186,1)=4,"Wednesday",WEEKDAY(C186,1)=5,"Thursday",WEEKDAY(C186,1)=6,"Friday",WEEKDAY(C186,1)=7,"Saturday")</f>
        <v>Friday</v>
      </c>
      <c r="B186" s="61" t="s">
        <v>391</v>
      </c>
      <c r="C186" s="62">
        <f t="shared" si="16"/>
        <v>44925</v>
      </c>
      <c r="D186" s="62">
        <v>44925</v>
      </c>
      <c r="E186" s="63">
        <v>0.375</v>
      </c>
      <c r="F186" s="60" t="s">
        <v>94</v>
      </c>
      <c r="G186" s="60" t="s">
        <v>151</v>
      </c>
      <c r="H186" s="61">
        <v>5</v>
      </c>
      <c r="I186" s="61">
        <v>0</v>
      </c>
      <c r="J186" s="61">
        <v>22</v>
      </c>
      <c r="K186" s="61">
        <v>22</v>
      </c>
      <c r="L186" s="61"/>
      <c r="M186" s="61" t="str" cm="1">
        <f t="array" ref="M186">_xlfn.IFS(WEEKDAY(N186,1)=1,"Sunday",WEEKDAY(N186,1)=2,"Monday",WEEKDAY(N186,1)=3,"Tuesday",WEEKDAY(N186,1)=4,"Wednesday",WEEKDAY(N186,1)=5,"Thursday",WEEKDAY(N186,1)=6,"Friday",WEEKDAY(N186,1)=7,"Saturday")</f>
        <v>Friday</v>
      </c>
      <c r="N186" s="62">
        <v>44925</v>
      </c>
      <c r="O186" s="63">
        <v>0.375</v>
      </c>
      <c r="P186" s="60" t="s">
        <v>94</v>
      </c>
      <c r="Q186" s="60" t="s">
        <v>341</v>
      </c>
      <c r="R186" s="60" t="s">
        <v>159</v>
      </c>
      <c r="S186" s="68">
        <v>86.36363636363636</v>
      </c>
      <c r="T186" s="61">
        <v>22</v>
      </c>
      <c r="V186">
        <f t="shared" si="12"/>
        <v>31372</v>
      </c>
      <c r="W186" s="1">
        <f t="shared" si="13"/>
        <v>1426</v>
      </c>
      <c r="X186">
        <f t="shared" si="14"/>
        <v>23</v>
      </c>
      <c r="Y186" s="55">
        <f t="shared" si="17"/>
        <v>0.86363636363636365</v>
      </c>
    </row>
    <row r="187" spans="1:25" x14ac:dyDescent="0.25">
      <c r="A187" s="61" t="str" cm="1">
        <f t="array" ref="A187">_xlfn.IFS(WEEKDAY(C187,1)=1,"Sunday",WEEKDAY(C187,1)=2,"Monday",WEEKDAY(C187,1)=3,"Tuesday",WEEKDAY(C187,1)=4,"Wednesday",WEEKDAY(C187,1)=5,"Thursday",WEEKDAY(C187,1)=6,"Friday",WEEKDAY(C187,1)=7,"Saturday")</f>
        <v>Friday</v>
      </c>
      <c r="B187" s="61" t="s">
        <v>391</v>
      </c>
      <c r="C187" s="62">
        <f t="shared" si="16"/>
        <v>44925</v>
      </c>
      <c r="D187" s="62">
        <v>44925</v>
      </c>
      <c r="E187" s="63">
        <v>0.41666666666666669</v>
      </c>
      <c r="F187" s="60" t="s">
        <v>94</v>
      </c>
      <c r="G187" s="60" t="s">
        <v>159</v>
      </c>
      <c r="H187" s="61">
        <v>4</v>
      </c>
      <c r="I187" s="61">
        <v>0</v>
      </c>
      <c r="J187" s="61">
        <v>27</v>
      </c>
      <c r="K187" s="61">
        <v>27</v>
      </c>
      <c r="L187" s="61"/>
      <c r="M187" s="61" t="str" cm="1">
        <f t="array" ref="M187">_xlfn.IFS(WEEKDAY(N187,1)=1,"Sunday",WEEKDAY(N187,1)=2,"Monday",WEEKDAY(N187,1)=3,"Tuesday",WEEKDAY(N187,1)=4,"Wednesday",WEEKDAY(N187,1)=5,"Thursday",WEEKDAY(N187,1)=6,"Friday",WEEKDAY(N187,1)=7,"Saturday")</f>
        <v>Friday</v>
      </c>
      <c r="N187" s="62">
        <v>44925</v>
      </c>
      <c r="O187" s="63">
        <v>0.41666666666666669</v>
      </c>
      <c r="P187" s="60" t="s">
        <v>94</v>
      </c>
      <c r="Q187" s="60" t="s">
        <v>255</v>
      </c>
      <c r="R187" s="60" t="s">
        <v>126</v>
      </c>
      <c r="S187" s="68">
        <v>88.888888888888886</v>
      </c>
      <c r="T187" s="61">
        <v>27</v>
      </c>
      <c r="V187">
        <f t="shared" si="12"/>
        <v>24948</v>
      </c>
      <c r="W187" s="1">
        <f t="shared" si="13"/>
        <v>924</v>
      </c>
      <c r="X187">
        <f t="shared" si="14"/>
        <v>21.999999999999996</v>
      </c>
      <c r="Y187" s="55">
        <f t="shared" si="17"/>
        <v>0.88888888888888884</v>
      </c>
    </row>
    <row r="188" spans="1:25" x14ac:dyDescent="0.25">
      <c r="A188" s="61" t="str" cm="1">
        <f t="array" ref="A188">_xlfn.IFS(WEEKDAY(C188,1)=1,"Sunday",WEEKDAY(C188,1)=2,"Monday",WEEKDAY(C188,1)=3,"Tuesday",WEEKDAY(C188,1)=4,"Wednesday",WEEKDAY(C188,1)=5,"Thursday",WEEKDAY(C188,1)=6,"Friday",WEEKDAY(C188,1)=7,"Saturday")</f>
        <v>Friday</v>
      </c>
      <c r="B188" s="61" t="s">
        <v>391</v>
      </c>
      <c r="C188" s="62">
        <f t="shared" si="16"/>
        <v>44925</v>
      </c>
      <c r="D188" s="62">
        <v>44925</v>
      </c>
      <c r="E188" s="63">
        <v>0.45833333333333331</v>
      </c>
      <c r="F188" s="60" t="s">
        <v>94</v>
      </c>
      <c r="G188" s="60" t="s">
        <v>106</v>
      </c>
      <c r="H188" s="61">
        <v>2</v>
      </c>
      <c r="I188" s="61">
        <v>0</v>
      </c>
      <c r="J188" s="61">
        <v>31</v>
      </c>
      <c r="K188" s="61">
        <v>31</v>
      </c>
      <c r="L188" s="61"/>
      <c r="M188" s="61" t="str" cm="1">
        <f t="array" ref="M188">_xlfn.IFS(WEEKDAY(N188,1)=1,"Sunday",WEEKDAY(N188,1)=2,"Monday",WEEKDAY(N188,1)=3,"Tuesday",WEEKDAY(N188,1)=4,"Wednesday",WEEKDAY(N188,1)=5,"Thursday",WEEKDAY(N188,1)=6,"Friday",WEEKDAY(N188,1)=7,"Saturday")</f>
        <v>Friday</v>
      </c>
      <c r="N188" s="62">
        <v>44925</v>
      </c>
      <c r="O188" s="63">
        <v>0.45833333333333331</v>
      </c>
      <c r="P188" s="60" t="s">
        <v>94</v>
      </c>
      <c r="Q188" s="60" t="s">
        <v>290</v>
      </c>
      <c r="R188" s="60" t="s">
        <v>124</v>
      </c>
      <c r="S188" s="68">
        <v>93.548387096774192</v>
      </c>
      <c r="T188" s="61">
        <v>31</v>
      </c>
      <c r="V188">
        <f t="shared" si="12"/>
        <v>24893</v>
      </c>
      <c r="W188" s="1">
        <f t="shared" si="13"/>
        <v>803</v>
      </c>
      <c r="X188">
        <f t="shared" si="14"/>
        <v>10.999999999999998</v>
      </c>
      <c r="Y188" s="55">
        <f t="shared" si="17"/>
        <v>0.93548387096774188</v>
      </c>
    </row>
    <row r="189" spans="1:25" x14ac:dyDescent="0.25">
      <c r="A189" s="61" t="str" cm="1">
        <f t="array" ref="A189">_xlfn.IFS(WEEKDAY(C189,1)=1,"Sunday",WEEKDAY(C189,1)=2,"Monday",WEEKDAY(C189,1)=3,"Tuesday",WEEKDAY(C189,1)=4,"Wednesday",WEEKDAY(C189,1)=5,"Thursday",WEEKDAY(C189,1)=6,"Friday",WEEKDAY(C189,1)=7,"Saturday")</f>
        <v>Friday</v>
      </c>
      <c r="B189" s="61" t="s">
        <v>391</v>
      </c>
      <c r="C189" s="62">
        <f t="shared" si="16"/>
        <v>44925</v>
      </c>
      <c r="D189" s="62">
        <v>44925</v>
      </c>
      <c r="E189" s="63">
        <v>0.5</v>
      </c>
      <c r="F189" s="60" t="s">
        <v>95</v>
      </c>
      <c r="G189" s="60" t="s">
        <v>125</v>
      </c>
      <c r="H189" s="61">
        <v>4</v>
      </c>
      <c r="I189" s="61">
        <v>1</v>
      </c>
      <c r="J189" s="61">
        <v>35</v>
      </c>
      <c r="K189" s="61">
        <v>36</v>
      </c>
      <c r="L189" s="61"/>
      <c r="M189" s="61" t="str" cm="1">
        <f t="array" ref="M189">_xlfn.IFS(WEEKDAY(N189,1)=1,"Sunday",WEEKDAY(N189,1)=2,"Monday",WEEKDAY(N189,1)=3,"Tuesday",WEEKDAY(N189,1)=4,"Wednesday",WEEKDAY(N189,1)=5,"Thursday",WEEKDAY(N189,1)=6,"Friday",WEEKDAY(N189,1)=7,"Saturday")</f>
        <v>Friday</v>
      </c>
      <c r="N189" s="62">
        <v>44925</v>
      </c>
      <c r="O189" s="63">
        <v>0.5</v>
      </c>
      <c r="P189" s="60" t="s">
        <v>95</v>
      </c>
      <c r="Q189" s="60" t="s">
        <v>133</v>
      </c>
      <c r="R189" s="60" t="s">
        <v>106</v>
      </c>
      <c r="S189" s="68">
        <v>91.428571428571431</v>
      </c>
      <c r="T189" s="61">
        <v>35</v>
      </c>
      <c r="V189">
        <f t="shared" si="12"/>
        <v>29376</v>
      </c>
      <c r="W189" s="1">
        <f t="shared" si="13"/>
        <v>816</v>
      </c>
      <c r="X189">
        <f t="shared" si="14"/>
        <v>12</v>
      </c>
      <c r="Y189" s="55">
        <f t="shared" si="17"/>
        <v>0.91428571428571426</v>
      </c>
    </row>
    <row r="190" spans="1:25" x14ac:dyDescent="0.25">
      <c r="A190" s="61" t="str" cm="1">
        <f t="array" ref="A190">_xlfn.IFS(WEEKDAY(C190,1)=1,"Sunday",WEEKDAY(C190,1)=2,"Monday",WEEKDAY(C190,1)=3,"Tuesday",WEEKDAY(C190,1)=4,"Wednesday",WEEKDAY(C190,1)=5,"Thursday",WEEKDAY(C190,1)=6,"Friday",WEEKDAY(C190,1)=7,"Saturday")</f>
        <v>Friday</v>
      </c>
      <c r="B190" s="61" t="s">
        <v>391</v>
      </c>
      <c r="C190" s="62">
        <f t="shared" si="16"/>
        <v>44925</v>
      </c>
      <c r="D190" s="62">
        <v>44925</v>
      </c>
      <c r="E190" s="63">
        <v>4.1666666666666664E-2</v>
      </c>
      <c r="F190" s="60" t="s">
        <v>95</v>
      </c>
      <c r="G190" s="60" t="s">
        <v>129</v>
      </c>
      <c r="H190" s="61">
        <v>2</v>
      </c>
      <c r="I190" s="61">
        <v>0</v>
      </c>
      <c r="J190" s="61">
        <v>25</v>
      </c>
      <c r="K190" s="61">
        <v>25</v>
      </c>
      <c r="L190" s="61"/>
      <c r="M190" s="61" t="str" cm="1">
        <f t="array" ref="M190">_xlfn.IFS(WEEKDAY(N190,1)=1,"Sunday",WEEKDAY(N190,1)=2,"Monday",WEEKDAY(N190,1)=3,"Tuesday",WEEKDAY(N190,1)=4,"Wednesday",WEEKDAY(N190,1)=5,"Thursday",WEEKDAY(N190,1)=6,"Friday",WEEKDAY(N190,1)=7,"Saturday")</f>
        <v>Friday</v>
      </c>
      <c r="N190" s="62">
        <v>44925</v>
      </c>
      <c r="O190" s="63">
        <v>4.1666666666666664E-2</v>
      </c>
      <c r="P190" s="60" t="s">
        <v>95</v>
      </c>
      <c r="Q190" s="60" t="s">
        <v>342</v>
      </c>
      <c r="R190" s="60" t="s">
        <v>130</v>
      </c>
      <c r="S190" s="68">
        <v>84</v>
      </c>
      <c r="T190" s="61">
        <v>25</v>
      </c>
      <c r="V190">
        <f t="shared" si="12"/>
        <v>30825.000000000007</v>
      </c>
      <c r="W190" s="1">
        <f t="shared" si="13"/>
        <v>1233.0000000000002</v>
      </c>
      <c r="X190">
        <f t="shared" si="14"/>
        <v>26.000000000000004</v>
      </c>
      <c r="Y190" s="55">
        <f t="shared" si="17"/>
        <v>0.84</v>
      </c>
    </row>
    <row r="191" spans="1:25" x14ac:dyDescent="0.25">
      <c r="A191" s="61" t="str" cm="1">
        <f t="array" ref="A191">_xlfn.IFS(WEEKDAY(C191,1)=1,"Sunday",WEEKDAY(C191,1)=2,"Monday",WEEKDAY(C191,1)=3,"Tuesday",WEEKDAY(C191,1)=4,"Wednesday",WEEKDAY(C191,1)=5,"Thursday",WEEKDAY(C191,1)=6,"Friday",WEEKDAY(C191,1)=7,"Saturday")</f>
        <v>Friday</v>
      </c>
      <c r="B191" s="61" t="s">
        <v>391</v>
      </c>
      <c r="C191" s="62">
        <f t="shared" si="16"/>
        <v>44925</v>
      </c>
      <c r="D191" s="62">
        <v>44925</v>
      </c>
      <c r="E191" s="63">
        <v>8.3333333333333329E-2</v>
      </c>
      <c r="F191" s="60" t="s">
        <v>95</v>
      </c>
      <c r="G191" s="60" t="s">
        <v>118</v>
      </c>
      <c r="H191" s="61">
        <v>0</v>
      </c>
      <c r="I191" s="61">
        <v>0</v>
      </c>
      <c r="J191" s="61">
        <v>22</v>
      </c>
      <c r="K191" s="61">
        <v>22</v>
      </c>
      <c r="L191" s="61"/>
      <c r="M191" s="61" t="str" cm="1">
        <f t="array" ref="M191">_xlfn.IFS(WEEKDAY(N191,1)=1,"Sunday",WEEKDAY(N191,1)=2,"Monday",WEEKDAY(N191,1)=3,"Tuesday",WEEKDAY(N191,1)=4,"Wednesday",WEEKDAY(N191,1)=5,"Thursday",WEEKDAY(N191,1)=6,"Friday",WEEKDAY(N191,1)=7,"Saturday")</f>
        <v>Friday</v>
      </c>
      <c r="N191" s="62">
        <v>44925</v>
      </c>
      <c r="O191" s="63">
        <v>8.3333333333333329E-2</v>
      </c>
      <c r="P191" s="60" t="s">
        <v>95</v>
      </c>
      <c r="Q191" s="60" t="s">
        <v>275</v>
      </c>
      <c r="R191" s="60" t="s">
        <v>150</v>
      </c>
      <c r="S191" s="68">
        <v>100</v>
      </c>
      <c r="T191" s="61">
        <v>22</v>
      </c>
      <c r="V191">
        <f t="shared" si="12"/>
        <v>19733.999999999996</v>
      </c>
      <c r="W191" s="1">
        <f t="shared" si="13"/>
        <v>896.99999999999989</v>
      </c>
      <c r="X191">
        <f t="shared" si="14"/>
        <v>7</v>
      </c>
      <c r="Y191" s="55">
        <f t="shared" si="17"/>
        <v>1</v>
      </c>
    </row>
    <row r="192" spans="1:25" x14ac:dyDescent="0.25">
      <c r="A192" s="61" t="str" cm="1">
        <f t="array" ref="A192">_xlfn.IFS(WEEKDAY(C192,1)=1,"Sunday",WEEKDAY(C192,1)=2,"Monday",WEEKDAY(C192,1)=3,"Tuesday",WEEKDAY(C192,1)=4,"Wednesday",WEEKDAY(C192,1)=5,"Thursday",WEEKDAY(C192,1)=6,"Friday",WEEKDAY(C192,1)=7,"Saturday")</f>
        <v>Friday</v>
      </c>
      <c r="B192" s="61" t="s">
        <v>391</v>
      </c>
      <c r="C192" s="62">
        <f t="shared" si="16"/>
        <v>44925</v>
      </c>
      <c r="D192" s="62">
        <v>44925</v>
      </c>
      <c r="E192" s="63">
        <v>0.125</v>
      </c>
      <c r="F192" s="60" t="s">
        <v>95</v>
      </c>
      <c r="G192" s="60" t="s">
        <v>118</v>
      </c>
      <c r="H192" s="61">
        <v>1</v>
      </c>
      <c r="I192" s="61">
        <v>0</v>
      </c>
      <c r="J192" s="61">
        <v>23</v>
      </c>
      <c r="K192" s="61">
        <v>23</v>
      </c>
      <c r="L192" s="61"/>
      <c r="M192" s="61" t="str" cm="1">
        <f t="array" ref="M192">_xlfn.IFS(WEEKDAY(N192,1)=1,"Sunday",WEEKDAY(N192,1)=2,"Monday",WEEKDAY(N192,1)=3,"Tuesday",WEEKDAY(N192,1)=4,"Wednesday",WEEKDAY(N192,1)=5,"Thursday",WEEKDAY(N192,1)=6,"Friday",WEEKDAY(N192,1)=7,"Saturday")</f>
        <v>Friday</v>
      </c>
      <c r="N192" s="62">
        <v>44925</v>
      </c>
      <c r="O192" s="63">
        <v>0.125</v>
      </c>
      <c r="P192" s="60" t="s">
        <v>95</v>
      </c>
      <c r="Q192" s="60" t="s">
        <v>102</v>
      </c>
      <c r="R192" s="60" t="s">
        <v>150</v>
      </c>
      <c r="S192" s="68">
        <v>100</v>
      </c>
      <c r="T192" s="61">
        <v>23</v>
      </c>
      <c r="V192">
        <f t="shared" si="12"/>
        <v>22195</v>
      </c>
      <c r="W192" s="1">
        <f t="shared" si="13"/>
        <v>965</v>
      </c>
      <c r="X192">
        <f t="shared" si="14"/>
        <v>7</v>
      </c>
      <c r="Y192" s="55">
        <f t="shared" si="17"/>
        <v>1</v>
      </c>
    </row>
    <row r="193" spans="1:25" x14ac:dyDescent="0.25">
      <c r="A193" s="61" t="str" cm="1">
        <f t="array" ref="A193">_xlfn.IFS(WEEKDAY(C193,1)=1,"Sunday",WEEKDAY(C193,1)=2,"Monday",WEEKDAY(C193,1)=3,"Tuesday",WEEKDAY(C193,1)=4,"Wednesday",WEEKDAY(C193,1)=5,"Thursday",WEEKDAY(C193,1)=6,"Friday",WEEKDAY(C193,1)=7,"Saturday")</f>
        <v>Friday</v>
      </c>
      <c r="B193" s="61" t="s">
        <v>391</v>
      </c>
      <c r="C193" s="62">
        <f t="shared" si="16"/>
        <v>44925</v>
      </c>
      <c r="D193" s="62">
        <v>44925</v>
      </c>
      <c r="E193" s="63">
        <v>0.16666666666666666</v>
      </c>
      <c r="F193" s="60" t="s">
        <v>95</v>
      </c>
      <c r="G193" s="60" t="s">
        <v>124</v>
      </c>
      <c r="H193" s="61">
        <v>3</v>
      </c>
      <c r="I193" s="61">
        <v>0</v>
      </c>
      <c r="J193" s="61">
        <v>27</v>
      </c>
      <c r="K193" s="61">
        <v>27</v>
      </c>
      <c r="L193" s="61"/>
      <c r="M193" s="61" t="str" cm="1">
        <f t="array" ref="M193">_xlfn.IFS(WEEKDAY(N193,1)=1,"Sunday",WEEKDAY(N193,1)=2,"Monday",WEEKDAY(N193,1)=3,"Tuesday",WEEKDAY(N193,1)=4,"Wednesday",WEEKDAY(N193,1)=5,"Thursday",WEEKDAY(N193,1)=6,"Friday",WEEKDAY(N193,1)=7,"Saturday")</f>
        <v>Friday</v>
      </c>
      <c r="N193" s="62">
        <v>44925</v>
      </c>
      <c r="O193" s="63">
        <v>0.16666666666666666</v>
      </c>
      <c r="P193" s="60" t="s">
        <v>95</v>
      </c>
      <c r="Q193" s="60" t="s">
        <v>343</v>
      </c>
      <c r="R193" s="60" t="s">
        <v>113</v>
      </c>
      <c r="S193" s="68">
        <v>92.592592592592595</v>
      </c>
      <c r="T193" s="61">
        <v>27</v>
      </c>
      <c r="V193">
        <f t="shared" si="12"/>
        <v>19493.999999999996</v>
      </c>
      <c r="W193" s="1">
        <f t="shared" si="13"/>
        <v>721.99999999999989</v>
      </c>
      <c r="X193">
        <f t="shared" si="14"/>
        <v>10</v>
      </c>
      <c r="Y193" s="55">
        <f t="shared" si="17"/>
        <v>0.92592592592592593</v>
      </c>
    </row>
    <row r="194" spans="1:25" x14ac:dyDescent="0.25">
      <c r="A194" s="61" t="str" cm="1">
        <f t="array" ref="A194">_xlfn.IFS(WEEKDAY(C194,1)=1,"Sunday",WEEKDAY(C194,1)=2,"Monday",WEEKDAY(C194,1)=3,"Tuesday",WEEKDAY(C194,1)=4,"Wednesday",WEEKDAY(C194,1)=5,"Thursday",WEEKDAY(C194,1)=6,"Friday",WEEKDAY(C194,1)=7,"Saturday")</f>
        <v>Saturday</v>
      </c>
      <c r="B194" s="61"/>
      <c r="C194" s="62">
        <f t="shared" si="16"/>
        <v>0</v>
      </c>
      <c r="D194" s="62"/>
      <c r="E194" s="63"/>
      <c r="F194" s="60"/>
      <c r="G194" s="60"/>
      <c r="H194" s="61"/>
      <c r="I194" s="61"/>
      <c r="J194" s="61"/>
      <c r="K194" s="61"/>
      <c r="L194" s="61"/>
      <c r="M194" s="61" t="str" cm="1">
        <f t="array" ref="M194">_xlfn.IFS(WEEKDAY(N194,1)=1,"Sunday",WEEKDAY(N194,1)=2,"Monday",WEEKDAY(N194,1)=3,"Tuesday",WEEKDAY(N194,1)=4,"Wednesday",WEEKDAY(N194,1)=5,"Thursday",WEEKDAY(N194,1)=6,"Friday",WEEKDAY(N194,1)=7,"Saturday")</f>
        <v>Saturday</v>
      </c>
      <c r="N194" s="62"/>
      <c r="O194" s="63"/>
      <c r="P194" s="60"/>
      <c r="Q194" s="60"/>
      <c r="R194" s="60"/>
      <c r="S194" s="68"/>
      <c r="T194" s="61"/>
      <c r="V194">
        <f t="shared" ref="V194:V214" si="18">W194*K194</f>
        <v>0</v>
      </c>
      <c r="W194" s="1">
        <f t="shared" ref="W194:W205" si="19">CONVERT(Q194,"day","sec")</f>
        <v>0</v>
      </c>
      <c r="X194">
        <f t="shared" ref="X194:X205" si="20">CONVERT(R194,"day","sec")</f>
        <v>0</v>
      </c>
      <c r="Y194" s="55">
        <f t="shared" si="17"/>
        <v>0</v>
      </c>
    </row>
    <row r="195" spans="1:25" x14ac:dyDescent="0.25">
      <c r="A195" s="61" t="str" cm="1">
        <f t="array" ref="A195">_xlfn.IFS(WEEKDAY(C195,1)=1,"Sunday",WEEKDAY(C195,1)=2,"Monday",WEEKDAY(C195,1)=3,"Tuesday",WEEKDAY(C195,1)=4,"Wednesday",WEEKDAY(C195,1)=5,"Thursday",WEEKDAY(C195,1)=6,"Friday",WEEKDAY(C195,1)=7,"Saturday")</f>
        <v>Saturday</v>
      </c>
      <c r="B195" s="61"/>
      <c r="C195" s="62">
        <f t="shared" ref="C195:C216" si="21">D195</f>
        <v>0</v>
      </c>
      <c r="D195" s="62"/>
      <c r="E195" s="63"/>
      <c r="F195" s="60"/>
      <c r="G195" s="60"/>
      <c r="H195" s="61"/>
      <c r="I195" s="61"/>
      <c r="J195" s="61"/>
      <c r="K195" s="61"/>
      <c r="L195" s="61"/>
      <c r="M195" s="61" t="str" cm="1">
        <f t="array" ref="M195">_xlfn.IFS(WEEKDAY(N195,1)=1,"Sunday",WEEKDAY(N195,1)=2,"Monday",WEEKDAY(N195,1)=3,"Tuesday",WEEKDAY(N195,1)=4,"Wednesday",WEEKDAY(N195,1)=5,"Thursday",WEEKDAY(N195,1)=6,"Friday",WEEKDAY(N195,1)=7,"Saturday")</f>
        <v>Saturday</v>
      </c>
      <c r="N195" s="62"/>
      <c r="O195" s="63"/>
      <c r="P195" s="60"/>
      <c r="Q195" s="60"/>
      <c r="R195" s="60"/>
      <c r="S195" s="68"/>
      <c r="T195" s="61"/>
      <c r="V195">
        <f t="shared" si="18"/>
        <v>0</v>
      </c>
      <c r="W195" s="1">
        <f t="shared" si="19"/>
        <v>0</v>
      </c>
      <c r="X195">
        <f t="shared" si="20"/>
        <v>0</v>
      </c>
      <c r="Y195" s="55">
        <f t="shared" si="17"/>
        <v>0</v>
      </c>
    </row>
    <row r="196" spans="1:25" x14ac:dyDescent="0.25">
      <c r="A196" s="61" t="str" cm="1">
        <f t="array" ref="A196">_xlfn.IFS(WEEKDAY(C196,1)=1,"Sunday",WEEKDAY(C196,1)=2,"Monday",WEEKDAY(C196,1)=3,"Tuesday",WEEKDAY(C196,1)=4,"Wednesday",WEEKDAY(C196,1)=5,"Thursday",WEEKDAY(C196,1)=6,"Friday",WEEKDAY(C196,1)=7,"Saturday")</f>
        <v>Saturday</v>
      </c>
      <c r="B196" s="61"/>
      <c r="C196" s="62">
        <f t="shared" si="21"/>
        <v>0</v>
      </c>
      <c r="D196" s="62"/>
      <c r="E196" s="63"/>
      <c r="F196" s="60"/>
      <c r="G196" s="60"/>
      <c r="H196" s="61"/>
      <c r="I196" s="61"/>
      <c r="J196" s="61"/>
      <c r="K196" s="61"/>
      <c r="L196" s="61"/>
      <c r="M196" s="61" t="str" cm="1">
        <f t="array" ref="M196">_xlfn.IFS(WEEKDAY(N196,1)=1,"Sunday",WEEKDAY(N196,1)=2,"Monday",WEEKDAY(N196,1)=3,"Tuesday",WEEKDAY(N196,1)=4,"Wednesday",WEEKDAY(N196,1)=5,"Thursday",WEEKDAY(N196,1)=6,"Friday",WEEKDAY(N196,1)=7,"Saturday")</f>
        <v>Saturday</v>
      </c>
      <c r="N196" s="62"/>
      <c r="O196" s="63"/>
      <c r="P196" s="60"/>
      <c r="Q196" s="60"/>
      <c r="R196" s="60"/>
      <c r="S196" s="68"/>
      <c r="T196" s="61"/>
      <c r="V196">
        <f t="shared" si="18"/>
        <v>0</v>
      </c>
      <c r="W196" s="1">
        <f t="shared" si="19"/>
        <v>0</v>
      </c>
      <c r="X196">
        <f t="shared" si="20"/>
        <v>0</v>
      </c>
      <c r="Y196" s="55">
        <f t="shared" si="17"/>
        <v>0</v>
      </c>
    </row>
    <row r="197" spans="1:25" x14ac:dyDescent="0.25">
      <c r="A197" s="61" t="str" cm="1">
        <f t="array" ref="A197">_xlfn.IFS(WEEKDAY(C197,1)=1,"Sunday",WEEKDAY(C197,1)=2,"Monday",WEEKDAY(C197,1)=3,"Tuesday",WEEKDAY(C197,1)=4,"Wednesday",WEEKDAY(C197,1)=5,"Thursday",WEEKDAY(C197,1)=6,"Friday",WEEKDAY(C197,1)=7,"Saturday")</f>
        <v>Saturday</v>
      </c>
      <c r="B197" s="61"/>
      <c r="C197" s="62">
        <f t="shared" si="21"/>
        <v>0</v>
      </c>
      <c r="D197" s="62"/>
      <c r="E197" s="63"/>
      <c r="F197" s="60"/>
      <c r="G197" s="60"/>
      <c r="H197" s="61"/>
      <c r="I197" s="61"/>
      <c r="J197" s="61"/>
      <c r="K197" s="61"/>
      <c r="L197" s="61"/>
      <c r="M197" s="61" t="str" cm="1">
        <f t="array" ref="M197">_xlfn.IFS(WEEKDAY(N197,1)=1,"Sunday",WEEKDAY(N197,1)=2,"Monday",WEEKDAY(N197,1)=3,"Tuesday",WEEKDAY(N197,1)=4,"Wednesday",WEEKDAY(N197,1)=5,"Thursday",WEEKDAY(N197,1)=6,"Friday",WEEKDAY(N197,1)=7,"Saturday")</f>
        <v>Saturday</v>
      </c>
      <c r="N197" s="62"/>
      <c r="O197" s="63"/>
      <c r="P197" s="60"/>
      <c r="Q197" s="60"/>
      <c r="R197" s="60"/>
      <c r="S197" s="68"/>
      <c r="T197" s="61"/>
      <c r="V197">
        <f t="shared" si="18"/>
        <v>0</v>
      </c>
      <c r="W197" s="1">
        <f t="shared" si="19"/>
        <v>0</v>
      </c>
      <c r="X197">
        <f t="shared" si="20"/>
        <v>0</v>
      </c>
      <c r="Y197" s="55">
        <f t="shared" si="17"/>
        <v>0</v>
      </c>
    </row>
    <row r="198" spans="1:25" x14ac:dyDescent="0.25">
      <c r="A198" s="61" t="str" cm="1">
        <f t="array" ref="A198">_xlfn.IFS(WEEKDAY(C198,1)=1,"Sunday",WEEKDAY(C198,1)=2,"Monday",WEEKDAY(C198,1)=3,"Tuesday",WEEKDAY(C198,1)=4,"Wednesday",WEEKDAY(C198,1)=5,"Thursday",WEEKDAY(C198,1)=6,"Friday",WEEKDAY(C198,1)=7,"Saturday")</f>
        <v>Saturday</v>
      </c>
      <c r="B198" s="61"/>
      <c r="C198" s="62">
        <f t="shared" si="21"/>
        <v>0</v>
      </c>
      <c r="D198" s="62"/>
      <c r="E198" s="63"/>
      <c r="F198" s="60"/>
      <c r="G198" s="60"/>
      <c r="H198" s="61"/>
      <c r="I198" s="61"/>
      <c r="J198" s="61"/>
      <c r="K198" s="61"/>
      <c r="M198" s="61" t="str" cm="1">
        <f t="array" ref="M198">_xlfn.IFS(WEEKDAY(N198,1)=1,"Sunday",WEEKDAY(N198,1)=2,"Monday",WEEKDAY(N198,1)=3,"Tuesday",WEEKDAY(N198,1)=4,"Wednesday",WEEKDAY(N198,1)=5,"Thursday",WEEKDAY(N198,1)=6,"Friday",WEEKDAY(N198,1)=7,"Saturday")</f>
        <v>Saturday</v>
      </c>
      <c r="N198" s="62"/>
      <c r="O198" s="63"/>
      <c r="P198" s="60"/>
      <c r="Q198" s="60"/>
      <c r="R198" s="60"/>
      <c r="S198" s="68"/>
      <c r="T198" s="61"/>
      <c r="V198">
        <f t="shared" si="18"/>
        <v>0</v>
      </c>
      <c r="W198" s="1">
        <f t="shared" si="19"/>
        <v>0</v>
      </c>
      <c r="X198">
        <f t="shared" si="20"/>
        <v>0</v>
      </c>
      <c r="Y198" s="55">
        <f t="shared" si="17"/>
        <v>0</v>
      </c>
    </row>
    <row r="199" spans="1:25" x14ac:dyDescent="0.25">
      <c r="A199" s="61" t="str" cm="1">
        <f t="array" ref="A199">_xlfn.IFS(WEEKDAY(C199,1)=1,"Sunday",WEEKDAY(C199,1)=2,"Monday",WEEKDAY(C199,1)=3,"Tuesday",WEEKDAY(C199,1)=4,"Wednesday",WEEKDAY(C199,1)=5,"Thursday",WEEKDAY(C199,1)=6,"Friday",WEEKDAY(C199,1)=7,"Saturday")</f>
        <v>Saturday</v>
      </c>
      <c r="B199" s="61"/>
      <c r="C199" s="62">
        <f t="shared" si="21"/>
        <v>0</v>
      </c>
      <c r="D199" s="62"/>
      <c r="E199" s="63"/>
      <c r="F199" s="60"/>
      <c r="G199" s="60"/>
      <c r="H199" s="61"/>
      <c r="I199" s="61"/>
      <c r="J199" s="61"/>
      <c r="K199" s="61"/>
      <c r="M199" s="61" t="str" cm="1">
        <f t="array" ref="M199">_xlfn.IFS(WEEKDAY(N199,1)=1,"Sunday",WEEKDAY(N199,1)=2,"Monday",WEEKDAY(N199,1)=3,"Tuesday",WEEKDAY(N199,1)=4,"Wednesday",WEEKDAY(N199,1)=5,"Thursday",WEEKDAY(N199,1)=6,"Friday",WEEKDAY(N199,1)=7,"Saturday")</f>
        <v>Saturday</v>
      </c>
      <c r="N199" s="62"/>
      <c r="O199" s="63"/>
      <c r="P199" s="60"/>
      <c r="Q199" s="60"/>
      <c r="R199" s="60"/>
      <c r="S199" s="68"/>
      <c r="T199" s="61"/>
      <c r="V199">
        <f t="shared" si="18"/>
        <v>0</v>
      </c>
      <c r="W199" s="1">
        <f t="shared" si="19"/>
        <v>0</v>
      </c>
      <c r="X199">
        <f t="shared" si="20"/>
        <v>0</v>
      </c>
      <c r="Y199" s="55">
        <f t="shared" si="17"/>
        <v>0</v>
      </c>
    </row>
    <row r="200" spans="1:25" x14ac:dyDescent="0.25">
      <c r="A200" s="61" t="str" cm="1">
        <f t="array" ref="A200">_xlfn.IFS(WEEKDAY(C200,1)=1,"Sunday",WEEKDAY(C200,1)=2,"Monday",WEEKDAY(C200,1)=3,"Tuesday",WEEKDAY(C200,1)=4,"Wednesday",WEEKDAY(C200,1)=5,"Thursday",WEEKDAY(C200,1)=6,"Friday",WEEKDAY(C200,1)=7,"Saturday")</f>
        <v>Saturday</v>
      </c>
      <c r="B200" s="61"/>
      <c r="C200" s="62">
        <f t="shared" si="21"/>
        <v>0</v>
      </c>
      <c r="D200" s="62"/>
      <c r="E200" s="63"/>
      <c r="F200" s="60"/>
      <c r="G200" s="60"/>
      <c r="H200" s="61"/>
      <c r="I200" s="61"/>
      <c r="J200" s="61"/>
      <c r="K200" s="61"/>
      <c r="M200" s="61" t="str" cm="1">
        <f t="array" ref="M200">_xlfn.IFS(WEEKDAY(N200,1)=1,"Sunday",WEEKDAY(N200,1)=2,"Monday",WEEKDAY(N200,1)=3,"Tuesday",WEEKDAY(N200,1)=4,"Wednesday",WEEKDAY(N200,1)=5,"Thursday",WEEKDAY(N200,1)=6,"Friday",WEEKDAY(N200,1)=7,"Saturday")</f>
        <v>Saturday</v>
      </c>
      <c r="N200" s="62"/>
      <c r="O200" s="63"/>
      <c r="P200" s="60"/>
      <c r="Q200" s="60"/>
      <c r="R200" s="60"/>
      <c r="S200" s="68"/>
      <c r="T200" s="61"/>
      <c r="V200">
        <f t="shared" si="18"/>
        <v>0</v>
      </c>
      <c r="W200" s="1">
        <f t="shared" si="19"/>
        <v>0</v>
      </c>
      <c r="X200">
        <f t="shared" si="20"/>
        <v>0</v>
      </c>
      <c r="Y200" s="55">
        <f t="shared" si="17"/>
        <v>0</v>
      </c>
    </row>
    <row r="201" spans="1:25" x14ac:dyDescent="0.25">
      <c r="A201" s="61" t="str" cm="1">
        <f t="array" ref="A201">_xlfn.IFS(WEEKDAY(C201,1)=1,"Sunday",WEEKDAY(C201,1)=2,"Monday",WEEKDAY(C201,1)=3,"Tuesday",WEEKDAY(C201,1)=4,"Wednesday",WEEKDAY(C201,1)=5,"Thursday",WEEKDAY(C201,1)=6,"Friday",WEEKDAY(C201,1)=7,"Saturday")</f>
        <v>Saturday</v>
      </c>
      <c r="B201" s="61"/>
      <c r="C201" s="62">
        <f t="shared" si="21"/>
        <v>0</v>
      </c>
      <c r="D201" s="62"/>
      <c r="E201" s="63"/>
      <c r="F201" s="60"/>
      <c r="G201" s="60"/>
      <c r="H201" s="61"/>
      <c r="I201" s="61"/>
      <c r="J201" s="61"/>
      <c r="K201" s="61"/>
      <c r="M201" s="61" t="str" cm="1">
        <f t="array" ref="M201">_xlfn.IFS(WEEKDAY(N201,1)=1,"Sunday",WEEKDAY(N201,1)=2,"Monday",WEEKDAY(N201,1)=3,"Tuesday",WEEKDAY(N201,1)=4,"Wednesday",WEEKDAY(N201,1)=5,"Thursday",WEEKDAY(N201,1)=6,"Friday",WEEKDAY(N201,1)=7,"Saturday")</f>
        <v>Saturday</v>
      </c>
      <c r="N201" s="62"/>
      <c r="O201" s="63"/>
      <c r="P201" s="60"/>
      <c r="Q201" s="60"/>
      <c r="R201" s="60"/>
      <c r="S201" s="68"/>
      <c r="T201" s="61"/>
      <c r="V201">
        <f t="shared" si="18"/>
        <v>0</v>
      </c>
      <c r="W201" s="1">
        <f t="shared" si="19"/>
        <v>0</v>
      </c>
      <c r="X201">
        <f t="shared" si="20"/>
        <v>0</v>
      </c>
      <c r="Y201" s="55">
        <f t="shared" si="17"/>
        <v>0</v>
      </c>
    </row>
    <row r="202" spans="1:25" x14ac:dyDescent="0.25">
      <c r="A202" s="61" t="str" cm="1">
        <f t="array" ref="A202">_xlfn.IFS(WEEKDAY(C202,1)=1,"Sunday",WEEKDAY(C202,1)=2,"Monday",WEEKDAY(C202,1)=3,"Tuesday",WEEKDAY(C202,1)=4,"Wednesday",WEEKDAY(C202,1)=5,"Thursday",WEEKDAY(C202,1)=6,"Friday",WEEKDAY(C202,1)=7,"Saturday")</f>
        <v>Saturday</v>
      </c>
      <c r="B202" s="61"/>
      <c r="C202" s="62">
        <f t="shared" si="21"/>
        <v>0</v>
      </c>
      <c r="D202" s="62"/>
      <c r="E202" s="63"/>
      <c r="F202" s="60"/>
      <c r="G202" s="60"/>
      <c r="H202" s="61"/>
      <c r="I202" s="61"/>
      <c r="J202" s="61"/>
      <c r="K202" s="61"/>
      <c r="M202" s="61" t="str" cm="1">
        <f t="array" ref="M202">_xlfn.IFS(WEEKDAY(N202,1)=1,"Sunday",WEEKDAY(N202,1)=2,"Monday",WEEKDAY(N202,1)=3,"Tuesday",WEEKDAY(N202,1)=4,"Wednesday",WEEKDAY(N202,1)=5,"Thursday",WEEKDAY(N202,1)=6,"Friday",WEEKDAY(N202,1)=7,"Saturday")</f>
        <v>Saturday</v>
      </c>
      <c r="N202" s="62"/>
      <c r="O202" s="63"/>
      <c r="P202" s="60"/>
      <c r="Q202" s="60"/>
      <c r="R202" s="60"/>
      <c r="S202" s="68"/>
      <c r="T202" s="61"/>
      <c r="V202">
        <f t="shared" si="18"/>
        <v>0</v>
      </c>
      <c r="W202" s="1">
        <f t="shared" si="19"/>
        <v>0</v>
      </c>
      <c r="X202">
        <f t="shared" si="20"/>
        <v>0</v>
      </c>
      <c r="Y202" s="55">
        <f t="shared" si="17"/>
        <v>0</v>
      </c>
    </row>
    <row r="203" spans="1:25" x14ac:dyDescent="0.25">
      <c r="A203" s="61" t="str" cm="1">
        <f t="array" ref="A203">_xlfn.IFS(WEEKDAY(C203,1)=1,"Sunday",WEEKDAY(C203,1)=2,"Monday",WEEKDAY(C203,1)=3,"Tuesday",WEEKDAY(C203,1)=4,"Wednesday",WEEKDAY(C203,1)=5,"Thursday",WEEKDAY(C203,1)=6,"Friday",WEEKDAY(C203,1)=7,"Saturday")</f>
        <v>Saturday</v>
      </c>
      <c r="B203" s="61"/>
      <c r="C203" s="62">
        <f t="shared" si="21"/>
        <v>0</v>
      </c>
      <c r="D203" s="62"/>
      <c r="E203" s="63"/>
      <c r="F203" s="60"/>
      <c r="G203" s="60"/>
      <c r="H203" s="61"/>
      <c r="I203" s="61"/>
      <c r="J203" s="61"/>
      <c r="K203" s="61"/>
      <c r="M203" s="61" t="str" cm="1">
        <f t="array" ref="M203">_xlfn.IFS(WEEKDAY(N203,1)=1,"Sunday",WEEKDAY(N203,1)=2,"Monday",WEEKDAY(N203,1)=3,"Tuesday",WEEKDAY(N203,1)=4,"Wednesday",WEEKDAY(N203,1)=5,"Thursday",WEEKDAY(N203,1)=6,"Friday",WEEKDAY(N203,1)=7,"Saturday")</f>
        <v>Saturday</v>
      </c>
      <c r="N203" s="62"/>
      <c r="O203" s="63"/>
      <c r="P203" s="60"/>
      <c r="Q203" s="60"/>
      <c r="R203" s="60"/>
      <c r="S203" s="68"/>
      <c r="T203" s="61"/>
      <c r="V203">
        <f t="shared" si="18"/>
        <v>0</v>
      </c>
      <c r="W203" s="1">
        <f t="shared" si="19"/>
        <v>0</v>
      </c>
      <c r="X203">
        <f t="shared" si="20"/>
        <v>0</v>
      </c>
      <c r="Y203" s="55">
        <f t="shared" si="17"/>
        <v>0</v>
      </c>
    </row>
    <row r="204" spans="1:25" x14ac:dyDescent="0.25">
      <c r="A204" s="61" t="str" cm="1">
        <f t="array" ref="A204">_xlfn.IFS(WEEKDAY(C204,1)=1,"Sunday",WEEKDAY(C204,1)=2,"Monday",WEEKDAY(C204,1)=3,"Tuesday",WEEKDAY(C204,1)=4,"Wednesday",WEEKDAY(C204,1)=5,"Thursday",WEEKDAY(C204,1)=6,"Friday",WEEKDAY(C204,1)=7,"Saturday")</f>
        <v>Saturday</v>
      </c>
      <c r="B204" s="61"/>
      <c r="C204" s="62">
        <f t="shared" si="21"/>
        <v>0</v>
      </c>
      <c r="D204" s="62"/>
      <c r="E204" s="63"/>
      <c r="F204" s="60"/>
      <c r="G204" s="60"/>
      <c r="H204" s="61"/>
      <c r="I204" s="61"/>
      <c r="J204" s="61"/>
      <c r="K204" s="61"/>
      <c r="M204" s="61" t="str" cm="1">
        <f t="array" ref="M204">_xlfn.IFS(WEEKDAY(N204,1)=1,"Sunday",WEEKDAY(N204,1)=2,"Monday",WEEKDAY(N204,1)=3,"Tuesday",WEEKDAY(N204,1)=4,"Wednesday",WEEKDAY(N204,1)=5,"Thursday",WEEKDAY(N204,1)=6,"Friday",WEEKDAY(N204,1)=7,"Saturday")</f>
        <v>Saturday</v>
      </c>
      <c r="N204" s="62"/>
      <c r="O204" s="63"/>
      <c r="P204" s="60"/>
      <c r="Q204" s="60"/>
      <c r="R204" s="60"/>
      <c r="S204" s="68"/>
      <c r="T204" s="61"/>
      <c r="V204">
        <f t="shared" si="18"/>
        <v>0</v>
      </c>
      <c r="W204" s="1">
        <f t="shared" si="19"/>
        <v>0</v>
      </c>
      <c r="X204">
        <f t="shared" si="20"/>
        <v>0</v>
      </c>
      <c r="Y204" s="55">
        <f t="shared" si="17"/>
        <v>0</v>
      </c>
    </row>
    <row r="205" spans="1:25" x14ac:dyDescent="0.25">
      <c r="A205" s="61" t="str" cm="1">
        <f t="array" ref="A205">_xlfn.IFS(WEEKDAY(C205,1)=1,"Sunday",WEEKDAY(C205,1)=2,"Monday",WEEKDAY(C205,1)=3,"Tuesday",WEEKDAY(C205,1)=4,"Wednesday",WEEKDAY(C205,1)=5,"Thursday",WEEKDAY(C205,1)=6,"Friday",WEEKDAY(C205,1)=7,"Saturday")</f>
        <v>Saturday</v>
      </c>
      <c r="B205" s="61"/>
      <c r="C205" s="62">
        <f t="shared" si="21"/>
        <v>0</v>
      </c>
      <c r="D205" s="62"/>
      <c r="E205" s="63"/>
      <c r="F205" s="60"/>
      <c r="G205" s="60"/>
      <c r="H205" s="61"/>
      <c r="I205" s="61"/>
      <c r="J205" s="61"/>
      <c r="K205" s="61"/>
      <c r="M205" s="61" t="str" cm="1">
        <f t="array" ref="M205">_xlfn.IFS(WEEKDAY(N205,1)=1,"Sunday",WEEKDAY(N205,1)=2,"Monday",WEEKDAY(N205,1)=3,"Tuesday",WEEKDAY(N205,1)=4,"Wednesday",WEEKDAY(N205,1)=5,"Thursday",WEEKDAY(N205,1)=6,"Friday",WEEKDAY(N205,1)=7,"Saturday")</f>
        <v>Saturday</v>
      </c>
      <c r="N205" s="62"/>
      <c r="O205" s="63"/>
      <c r="P205" s="60"/>
      <c r="Q205" s="60"/>
      <c r="R205" s="60"/>
      <c r="S205" s="68"/>
      <c r="T205" s="61"/>
      <c r="V205">
        <f t="shared" si="18"/>
        <v>0</v>
      </c>
      <c r="W205" s="1">
        <f t="shared" si="19"/>
        <v>0</v>
      </c>
      <c r="X205">
        <f t="shared" si="20"/>
        <v>0</v>
      </c>
      <c r="Y205" s="55">
        <f t="shared" si="17"/>
        <v>0</v>
      </c>
    </row>
    <row r="206" spans="1:25" x14ac:dyDescent="0.25">
      <c r="A206" s="61" t="str" cm="1">
        <f t="array" ref="A206">_xlfn.IFS(WEEKDAY(C206,1)=1,"Sunday",WEEKDAY(C206,1)=2,"Monday",WEEKDAY(C206,1)=3,"Tuesday",WEEKDAY(C206,1)=4,"Wednesday",WEEKDAY(C206,1)=5,"Thursday",WEEKDAY(C206,1)=6,"Friday",WEEKDAY(C206,1)=7,"Saturday")</f>
        <v>Saturday</v>
      </c>
      <c r="B206" s="61"/>
      <c r="C206" s="62">
        <f t="shared" si="21"/>
        <v>0</v>
      </c>
      <c r="D206" s="62"/>
      <c r="E206" s="63"/>
      <c r="F206" s="60"/>
      <c r="G206" s="60"/>
      <c r="H206" s="61"/>
      <c r="I206" s="61"/>
      <c r="J206" s="61"/>
      <c r="K206" s="61"/>
      <c r="M206" s="61" t="str" cm="1">
        <f t="array" ref="M206">_xlfn.IFS(WEEKDAY(N206,1)=1,"Sunday",WEEKDAY(N206,1)=2,"Monday",WEEKDAY(N206,1)=3,"Tuesday",WEEKDAY(N206,1)=4,"Wednesday",WEEKDAY(N206,1)=5,"Thursday",WEEKDAY(N206,1)=6,"Friday",WEEKDAY(N206,1)=7,"Saturday")</f>
        <v>Saturday</v>
      </c>
      <c r="N206" s="62"/>
      <c r="O206" s="63"/>
      <c r="P206" s="60"/>
      <c r="Q206" s="60"/>
      <c r="R206" s="60"/>
      <c r="S206" s="68"/>
      <c r="T206" s="61"/>
      <c r="V206">
        <f t="shared" si="18"/>
        <v>0</v>
      </c>
      <c r="W206" s="1">
        <f t="shared" ref="W206:W214" si="22">CONVERT(Q206,"day","sec")</f>
        <v>0</v>
      </c>
      <c r="X206">
        <f t="shared" ref="X206:X214" si="23">CONVERT(R206,"day","sec")</f>
        <v>0</v>
      </c>
      <c r="Y206" s="55">
        <f t="shared" ref="Y206:Y214" si="24">S206/100</f>
        <v>0</v>
      </c>
    </row>
    <row r="207" spans="1:25" x14ac:dyDescent="0.25">
      <c r="A207" s="61" t="str" cm="1">
        <f t="array" ref="A207">_xlfn.IFS(WEEKDAY(C207,1)=1,"Sunday",WEEKDAY(C207,1)=2,"Monday",WEEKDAY(C207,1)=3,"Tuesday",WEEKDAY(C207,1)=4,"Wednesday",WEEKDAY(C207,1)=5,"Thursday",WEEKDAY(C207,1)=6,"Friday",WEEKDAY(C207,1)=7,"Saturday")</f>
        <v>Saturday</v>
      </c>
      <c r="B207" s="61"/>
      <c r="C207" s="62">
        <f t="shared" si="21"/>
        <v>0</v>
      </c>
      <c r="D207" s="62"/>
      <c r="E207" s="63"/>
      <c r="F207" s="60"/>
      <c r="G207" s="60"/>
      <c r="H207" s="61"/>
      <c r="I207" s="61"/>
      <c r="J207" s="61"/>
      <c r="K207" s="61"/>
      <c r="M207" s="61" t="str" cm="1">
        <f t="array" ref="M207">_xlfn.IFS(WEEKDAY(N207,1)=1,"Sunday",WEEKDAY(N207,1)=2,"Monday",WEEKDAY(N207,1)=3,"Tuesday",WEEKDAY(N207,1)=4,"Wednesday",WEEKDAY(N207,1)=5,"Thursday",WEEKDAY(N207,1)=6,"Friday",WEEKDAY(N207,1)=7,"Saturday")</f>
        <v>Saturday</v>
      </c>
      <c r="N207" s="62"/>
      <c r="O207" s="63"/>
      <c r="P207" s="60"/>
      <c r="Q207" s="60"/>
      <c r="R207" s="60"/>
      <c r="S207" s="68"/>
      <c r="T207" s="61"/>
      <c r="V207">
        <f t="shared" si="18"/>
        <v>0</v>
      </c>
      <c r="W207" s="1">
        <f t="shared" si="22"/>
        <v>0</v>
      </c>
      <c r="X207">
        <f t="shared" si="23"/>
        <v>0</v>
      </c>
      <c r="Y207" s="55">
        <f t="shared" si="24"/>
        <v>0</v>
      </c>
    </row>
    <row r="208" spans="1:25" x14ac:dyDescent="0.25">
      <c r="A208" s="61" t="str" cm="1">
        <f t="array" ref="A208">_xlfn.IFS(WEEKDAY(C208,1)=1,"Sunday",WEEKDAY(C208,1)=2,"Monday",WEEKDAY(C208,1)=3,"Tuesday",WEEKDAY(C208,1)=4,"Wednesday",WEEKDAY(C208,1)=5,"Thursday",WEEKDAY(C208,1)=6,"Friday",WEEKDAY(C208,1)=7,"Saturday")</f>
        <v>Saturday</v>
      </c>
      <c r="B208" s="61"/>
      <c r="C208" s="62">
        <f t="shared" si="21"/>
        <v>0</v>
      </c>
      <c r="D208" s="62"/>
      <c r="E208" s="63"/>
      <c r="F208" s="60"/>
      <c r="G208" s="60"/>
      <c r="H208" s="61"/>
      <c r="I208" s="61"/>
      <c r="J208" s="61"/>
      <c r="K208" s="61"/>
      <c r="M208" s="61" t="str" cm="1">
        <f t="array" ref="M208">_xlfn.IFS(WEEKDAY(N208,1)=1,"Sunday",WEEKDAY(N208,1)=2,"Monday",WEEKDAY(N208,1)=3,"Tuesday",WEEKDAY(N208,1)=4,"Wednesday",WEEKDAY(N208,1)=5,"Thursday",WEEKDAY(N208,1)=6,"Friday",WEEKDAY(N208,1)=7,"Saturday")</f>
        <v>Saturday</v>
      </c>
      <c r="N208" s="62"/>
      <c r="O208" s="63"/>
      <c r="P208" s="60"/>
      <c r="Q208" s="60"/>
      <c r="R208" s="60"/>
      <c r="S208" s="68"/>
      <c r="T208" s="61"/>
      <c r="V208">
        <f t="shared" si="18"/>
        <v>0</v>
      </c>
      <c r="W208" s="1">
        <f t="shared" si="22"/>
        <v>0</v>
      </c>
      <c r="X208">
        <f t="shared" si="23"/>
        <v>0</v>
      </c>
      <c r="Y208" s="55">
        <f t="shared" si="24"/>
        <v>0</v>
      </c>
    </row>
    <row r="209" spans="1:25" x14ac:dyDescent="0.25">
      <c r="A209" s="61" t="str" cm="1">
        <f t="array" ref="A209">_xlfn.IFS(WEEKDAY(C209,1)=1,"Sunday",WEEKDAY(C209,1)=2,"Monday",WEEKDAY(C209,1)=3,"Tuesday",WEEKDAY(C209,1)=4,"Wednesday",WEEKDAY(C209,1)=5,"Thursday",WEEKDAY(C209,1)=6,"Friday",WEEKDAY(C209,1)=7,"Saturday")</f>
        <v>Saturday</v>
      </c>
      <c r="B209" s="61"/>
      <c r="C209" s="62">
        <f t="shared" si="21"/>
        <v>0</v>
      </c>
      <c r="D209" s="62"/>
      <c r="E209" s="63"/>
      <c r="F209" s="60"/>
      <c r="G209" s="60"/>
      <c r="H209" s="61"/>
      <c r="I209" s="61"/>
      <c r="J209" s="61"/>
      <c r="K209" s="61"/>
      <c r="M209" s="61" t="str" cm="1">
        <f t="array" ref="M209">_xlfn.IFS(WEEKDAY(N209,1)=1,"Sunday",WEEKDAY(N209,1)=2,"Monday",WEEKDAY(N209,1)=3,"Tuesday",WEEKDAY(N209,1)=4,"Wednesday",WEEKDAY(N209,1)=5,"Thursday",WEEKDAY(N209,1)=6,"Friday",WEEKDAY(N209,1)=7,"Saturday")</f>
        <v>Saturday</v>
      </c>
      <c r="N209" s="62"/>
      <c r="O209" s="63"/>
      <c r="P209" s="60"/>
      <c r="Q209" s="60"/>
      <c r="R209" s="60"/>
      <c r="S209" s="68"/>
      <c r="T209" s="61"/>
      <c r="V209">
        <f t="shared" si="18"/>
        <v>0</v>
      </c>
      <c r="W209" s="1">
        <f t="shared" si="22"/>
        <v>0</v>
      </c>
      <c r="X209">
        <f t="shared" si="23"/>
        <v>0</v>
      </c>
      <c r="Y209" s="55">
        <f t="shared" si="24"/>
        <v>0</v>
      </c>
    </row>
    <row r="210" spans="1:25" x14ac:dyDescent="0.25">
      <c r="A210" s="61" t="str" cm="1">
        <f t="array" ref="A210">_xlfn.IFS(WEEKDAY(C210,1)=1,"Sunday",WEEKDAY(C210,1)=2,"Monday",WEEKDAY(C210,1)=3,"Tuesday",WEEKDAY(C210,1)=4,"Wednesday",WEEKDAY(C210,1)=5,"Thursday",WEEKDAY(C210,1)=6,"Friday",WEEKDAY(C210,1)=7,"Saturday")</f>
        <v>Saturday</v>
      </c>
      <c r="B210" s="61"/>
      <c r="C210" s="62">
        <f t="shared" si="21"/>
        <v>0</v>
      </c>
      <c r="D210" s="62"/>
      <c r="E210" s="63"/>
      <c r="F210" s="60"/>
      <c r="G210" s="60"/>
      <c r="H210" s="61"/>
      <c r="I210" s="61"/>
      <c r="J210" s="61"/>
      <c r="K210" s="61"/>
      <c r="M210" s="61" t="str" cm="1">
        <f t="array" ref="M210">_xlfn.IFS(WEEKDAY(N210,1)=1,"Sunday",WEEKDAY(N210,1)=2,"Monday",WEEKDAY(N210,1)=3,"Tuesday",WEEKDAY(N210,1)=4,"Wednesday",WEEKDAY(N210,1)=5,"Thursday",WEEKDAY(N210,1)=6,"Friday",WEEKDAY(N210,1)=7,"Saturday")</f>
        <v>Saturday</v>
      </c>
      <c r="N210" s="62"/>
      <c r="O210" s="63"/>
      <c r="P210" s="60"/>
      <c r="Q210" s="60"/>
      <c r="R210" s="60"/>
      <c r="S210" s="68"/>
      <c r="T210" s="61"/>
      <c r="V210">
        <f t="shared" si="18"/>
        <v>0</v>
      </c>
      <c r="W210" s="1">
        <f t="shared" si="22"/>
        <v>0</v>
      </c>
      <c r="X210">
        <f t="shared" si="23"/>
        <v>0</v>
      </c>
      <c r="Y210" s="55">
        <f t="shared" si="24"/>
        <v>0</v>
      </c>
    </row>
    <row r="211" spans="1:25" x14ac:dyDescent="0.25">
      <c r="A211" s="61" t="str" cm="1">
        <f t="array" ref="A211">_xlfn.IFS(WEEKDAY(C211,1)=1,"Sunday",WEEKDAY(C211,1)=2,"Monday",WEEKDAY(C211,1)=3,"Tuesday",WEEKDAY(C211,1)=4,"Wednesday",WEEKDAY(C211,1)=5,"Thursday",WEEKDAY(C211,1)=6,"Friday",WEEKDAY(C211,1)=7,"Saturday")</f>
        <v>Saturday</v>
      </c>
      <c r="B211" s="61"/>
      <c r="C211" s="62">
        <f t="shared" si="21"/>
        <v>0</v>
      </c>
      <c r="D211" s="62"/>
      <c r="E211" s="63"/>
      <c r="F211" s="60"/>
      <c r="G211" s="60"/>
      <c r="H211" s="61"/>
      <c r="I211" s="61"/>
      <c r="J211" s="61"/>
      <c r="K211" s="61"/>
      <c r="M211" s="61" t="str" cm="1">
        <f t="array" ref="M211">_xlfn.IFS(WEEKDAY(N211,1)=1,"Sunday",WEEKDAY(N211,1)=2,"Monday",WEEKDAY(N211,1)=3,"Tuesday",WEEKDAY(N211,1)=4,"Wednesday",WEEKDAY(N211,1)=5,"Thursday",WEEKDAY(N211,1)=6,"Friday",WEEKDAY(N211,1)=7,"Saturday")</f>
        <v>Saturday</v>
      </c>
      <c r="N211" s="62"/>
      <c r="O211" s="63"/>
      <c r="P211" s="60"/>
      <c r="Q211" s="60"/>
      <c r="R211" s="60"/>
      <c r="S211" s="68"/>
      <c r="T211" s="61"/>
      <c r="V211">
        <f t="shared" si="18"/>
        <v>0</v>
      </c>
      <c r="W211" s="1">
        <f t="shared" si="22"/>
        <v>0</v>
      </c>
      <c r="X211">
        <f t="shared" si="23"/>
        <v>0</v>
      </c>
      <c r="Y211" s="55">
        <f t="shared" si="24"/>
        <v>0</v>
      </c>
    </row>
    <row r="212" spans="1:25" x14ac:dyDescent="0.25">
      <c r="A212" s="61" t="str" cm="1">
        <f t="array" ref="A212">_xlfn.IFS(WEEKDAY(C212,1)=1,"Sunday",WEEKDAY(C212,1)=2,"Monday",WEEKDAY(C212,1)=3,"Tuesday",WEEKDAY(C212,1)=4,"Wednesday",WEEKDAY(C212,1)=5,"Thursday",WEEKDAY(C212,1)=6,"Friday",WEEKDAY(C212,1)=7,"Saturday")</f>
        <v>Saturday</v>
      </c>
      <c r="B212" s="61"/>
      <c r="C212" s="62">
        <f t="shared" si="21"/>
        <v>0</v>
      </c>
      <c r="D212" s="62"/>
      <c r="E212" s="63"/>
      <c r="F212" s="60"/>
      <c r="G212" s="60"/>
      <c r="H212" s="61"/>
      <c r="I212" s="61"/>
      <c r="J212" s="61"/>
      <c r="K212" s="61"/>
      <c r="M212" s="61" t="str" cm="1">
        <f t="array" ref="M212">_xlfn.IFS(WEEKDAY(N212,1)=1,"Sunday",WEEKDAY(N212,1)=2,"Monday",WEEKDAY(N212,1)=3,"Tuesday",WEEKDAY(N212,1)=4,"Wednesday",WEEKDAY(N212,1)=5,"Thursday",WEEKDAY(N212,1)=6,"Friday",WEEKDAY(N212,1)=7,"Saturday")</f>
        <v>Saturday</v>
      </c>
      <c r="N212" s="62"/>
      <c r="O212" s="63"/>
      <c r="P212" s="60"/>
      <c r="Q212" s="60"/>
      <c r="R212" s="60"/>
      <c r="S212" s="68"/>
      <c r="T212" s="61"/>
      <c r="V212">
        <f t="shared" si="18"/>
        <v>0</v>
      </c>
      <c r="W212" s="1">
        <f t="shared" si="22"/>
        <v>0</v>
      </c>
      <c r="X212">
        <f t="shared" si="23"/>
        <v>0</v>
      </c>
      <c r="Y212" s="55">
        <f t="shared" si="24"/>
        <v>0</v>
      </c>
    </row>
    <row r="213" spans="1:25" x14ac:dyDescent="0.25">
      <c r="A213" s="61" t="str" cm="1">
        <f t="array" ref="A213">_xlfn.IFS(WEEKDAY(C213,1)=1,"Sunday",WEEKDAY(C213,1)=2,"Monday",WEEKDAY(C213,1)=3,"Tuesday",WEEKDAY(C213,1)=4,"Wednesday",WEEKDAY(C213,1)=5,"Thursday",WEEKDAY(C213,1)=6,"Friday",WEEKDAY(C213,1)=7,"Saturday")</f>
        <v>Saturday</v>
      </c>
      <c r="B213" s="61"/>
      <c r="C213" s="62">
        <f t="shared" si="21"/>
        <v>0</v>
      </c>
      <c r="D213" s="62"/>
      <c r="E213" s="63"/>
      <c r="F213" s="60"/>
      <c r="G213" s="60"/>
      <c r="H213" s="61"/>
      <c r="I213" s="61"/>
      <c r="J213" s="61"/>
      <c r="K213" s="61"/>
      <c r="M213" s="61" t="str" cm="1">
        <f t="array" ref="M213">_xlfn.IFS(WEEKDAY(N213,1)=1,"Sunday",WEEKDAY(N213,1)=2,"Monday",WEEKDAY(N213,1)=3,"Tuesday",WEEKDAY(N213,1)=4,"Wednesday",WEEKDAY(N213,1)=5,"Thursday",WEEKDAY(N213,1)=6,"Friday",WEEKDAY(N213,1)=7,"Saturday")</f>
        <v>Saturday</v>
      </c>
      <c r="N213" s="62"/>
      <c r="O213" s="63"/>
      <c r="P213" s="60"/>
      <c r="Q213" s="60"/>
      <c r="R213" s="60"/>
      <c r="S213" s="68"/>
      <c r="T213" s="61"/>
      <c r="V213">
        <f t="shared" si="18"/>
        <v>0</v>
      </c>
      <c r="W213" s="1">
        <f t="shared" si="22"/>
        <v>0</v>
      </c>
      <c r="X213">
        <f t="shared" si="23"/>
        <v>0</v>
      </c>
      <c r="Y213" s="55">
        <f t="shared" si="24"/>
        <v>0</v>
      </c>
    </row>
    <row r="214" spans="1:25" x14ac:dyDescent="0.25">
      <c r="A214" s="61" t="str" cm="1">
        <f t="array" ref="A214">_xlfn.IFS(WEEKDAY(C214,1)=1,"Sunday",WEEKDAY(C214,1)=2,"Monday",WEEKDAY(C214,1)=3,"Tuesday",WEEKDAY(C214,1)=4,"Wednesday",WEEKDAY(C214,1)=5,"Thursday",WEEKDAY(C214,1)=6,"Friday",WEEKDAY(C214,1)=7,"Saturday")</f>
        <v>Saturday</v>
      </c>
      <c r="B214" s="61"/>
      <c r="C214" s="62">
        <f t="shared" si="21"/>
        <v>0</v>
      </c>
      <c r="D214" s="62"/>
      <c r="E214" s="63"/>
      <c r="F214" s="60"/>
      <c r="G214" s="60"/>
      <c r="H214" s="61"/>
      <c r="I214" s="61"/>
      <c r="J214" s="61"/>
      <c r="K214" s="61"/>
      <c r="M214" s="61" t="str" cm="1">
        <f t="array" ref="M214">_xlfn.IFS(WEEKDAY(N214,1)=1,"Sunday",WEEKDAY(N214,1)=2,"Monday",WEEKDAY(N214,1)=3,"Tuesday",WEEKDAY(N214,1)=4,"Wednesday",WEEKDAY(N214,1)=5,"Thursday",WEEKDAY(N214,1)=6,"Friday",WEEKDAY(N214,1)=7,"Saturday")</f>
        <v>Saturday</v>
      </c>
      <c r="N214" s="62"/>
      <c r="O214" s="63"/>
      <c r="P214" s="60"/>
      <c r="Q214" s="60"/>
      <c r="R214" s="60"/>
      <c r="S214" s="68"/>
      <c r="T214" s="61"/>
      <c r="V214">
        <f t="shared" si="18"/>
        <v>0</v>
      </c>
      <c r="W214" s="1">
        <f t="shared" si="22"/>
        <v>0</v>
      </c>
      <c r="X214">
        <f t="shared" si="23"/>
        <v>0</v>
      </c>
      <c r="Y214" s="55">
        <f t="shared" si="24"/>
        <v>0</v>
      </c>
    </row>
    <row r="215" spans="1:25" x14ac:dyDescent="0.25">
      <c r="A215" s="61" t="str" cm="1">
        <f t="array" ref="A215">_xlfn.IFS(WEEKDAY(C215,1)=1,"Sunday",WEEKDAY(C215,1)=2,"Monday",WEEKDAY(C215,1)=3,"Tuesday",WEEKDAY(C215,1)=4,"Wednesday",WEEKDAY(C215,1)=5,"Thursday",WEEKDAY(C215,1)=6,"Friday",WEEKDAY(C215,1)=7,"Saturday")</f>
        <v>Saturday</v>
      </c>
      <c r="B215" s="61"/>
      <c r="C215" s="62">
        <f t="shared" si="21"/>
        <v>0</v>
      </c>
      <c r="D215" s="62"/>
      <c r="E215" s="63"/>
      <c r="F215" s="60"/>
      <c r="G215" s="60"/>
      <c r="H215" s="61"/>
      <c r="I215" s="61"/>
      <c r="J215" s="61"/>
      <c r="K215" s="61"/>
      <c r="M215" s="61"/>
      <c r="N215" s="62"/>
    </row>
    <row r="216" spans="1:25" x14ac:dyDescent="0.25">
      <c r="A216" s="61" t="str" cm="1">
        <f t="array" ref="A216">_xlfn.IFS(WEEKDAY(C216,1)=1,"Sunday",WEEKDAY(C216,1)=2,"Monday",WEEKDAY(C216,1)=3,"Tuesday",WEEKDAY(C216,1)=4,"Wednesday",WEEKDAY(C216,1)=5,"Thursday",WEEKDAY(C216,1)=6,"Friday",WEEKDAY(C216,1)=7,"Saturday")</f>
        <v>Saturday</v>
      </c>
      <c r="B216" s="61"/>
      <c r="C216" s="62">
        <f t="shared" si="21"/>
        <v>0</v>
      </c>
      <c r="D216" s="62"/>
      <c r="E216" s="63"/>
      <c r="F216" s="60"/>
      <c r="G216" s="60"/>
      <c r="H216" s="61"/>
      <c r="I216" s="61"/>
      <c r="J216" s="61"/>
      <c r="K216" s="61"/>
      <c r="M216" s="61"/>
      <c r="N216" s="62"/>
    </row>
    <row r="217" spans="1:25" x14ac:dyDescent="0.25">
      <c r="C217" s="53"/>
      <c r="D217" s="66"/>
      <c r="E217" s="66"/>
      <c r="F217" s="66"/>
    </row>
    <row r="218" spans="1:25" x14ac:dyDescent="0.25">
      <c r="C218" s="53"/>
      <c r="D218" s="66"/>
      <c r="E218" s="66"/>
      <c r="F218" s="66"/>
    </row>
    <row r="219" spans="1:25" x14ac:dyDescent="0.25">
      <c r="C219" s="53"/>
      <c r="D219" s="66"/>
      <c r="E219" s="66"/>
      <c r="F219" s="66"/>
    </row>
    <row r="220" spans="1:25" x14ac:dyDescent="0.25">
      <c r="C220" s="53"/>
      <c r="D220" s="66"/>
      <c r="E220" s="66"/>
      <c r="F220" s="66"/>
    </row>
    <row r="221" spans="1:25" x14ac:dyDescent="0.25">
      <c r="C221" s="53"/>
      <c r="D221" s="66"/>
      <c r="E221" s="66"/>
      <c r="F221" s="66"/>
    </row>
    <row r="222" spans="1:25" x14ac:dyDescent="0.25">
      <c r="C222" s="53"/>
      <c r="D222" s="66"/>
      <c r="E222" s="66"/>
      <c r="F222" s="66"/>
    </row>
    <row r="223" spans="1:25" x14ac:dyDescent="0.25">
      <c r="C223" s="53"/>
      <c r="D223" s="66"/>
      <c r="E223" s="66"/>
      <c r="F223" s="66"/>
    </row>
    <row r="224" spans="1:25" x14ac:dyDescent="0.25">
      <c r="C224" s="53"/>
      <c r="D224" s="66"/>
      <c r="E224" s="66"/>
      <c r="F224" s="66"/>
    </row>
    <row r="225" spans="3:6" x14ac:dyDescent="0.25">
      <c r="C225" s="53"/>
      <c r="D225" s="66"/>
      <c r="E225" s="66"/>
      <c r="F225" s="66"/>
    </row>
    <row r="226" spans="3:6" x14ac:dyDescent="0.25">
      <c r="C226" s="53"/>
      <c r="D226" s="66"/>
      <c r="E226" s="66"/>
      <c r="F226" s="66"/>
    </row>
    <row r="227" spans="3:6" x14ac:dyDescent="0.25">
      <c r="C227" s="53"/>
      <c r="D227" s="66"/>
      <c r="E227" s="66"/>
      <c r="F227" s="66"/>
    </row>
    <row r="228" spans="3:6" x14ac:dyDescent="0.25">
      <c r="C228" s="53"/>
      <c r="D228" s="66"/>
      <c r="E228" s="66"/>
      <c r="F228" s="66"/>
    </row>
    <row r="229" spans="3:6" x14ac:dyDescent="0.25">
      <c r="C229" s="53"/>
      <c r="D229" s="66"/>
      <c r="E229" s="66"/>
      <c r="F229" s="66"/>
    </row>
    <row r="230" spans="3:6" x14ac:dyDescent="0.25">
      <c r="C230" s="53"/>
      <c r="D230" s="66"/>
      <c r="E230" s="66"/>
      <c r="F230" s="66"/>
    </row>
    <row r="231" spans="3:6" x14ac:dyDescent="0.25">
      <c r="C231" s="53"/>
      <c r="D231" s="66"/>
      <c r="E231" s="66"/>
      <c r="F231" s="66"/>
    </row>
    <row r="232" spans="3:6" x14ac:dyDescent="0.25">
      <c r="C232" s="53"/>
      <c r="D232" s="66"/>
      <c r="E232" s="66"/>
      <c r="F232" s="66"/>
    </row>
    <row r="233" spans="3:6" x14ac:dyDescent="0.25">
      <c r="C233" s="53"/>
      <c r="D233" s="66"/>
      <c r="E233" s="66"/>
      <c r="F233" s="66"/>
    </row>
    <row r="234" spans="3:6" x14ac:dyDescent="0.25">
      <c r="C234" s="53"/>
      <c r="D234" s="66"/>
      <c r="E234" s="66"/>
      <c r="F234" s="66"/>
    </row>
    <row r="235" spans="3:6" x14ac:dyDescent="0.25">
      <c r="C235" s="53"/>
      <c r="D235" s="66"/>
      <c r="E235" s="66"/>
      <c r="F235" s="66"/>
    </row>
    <row r="236" spans="3:6" x14ac:dyDescent="0.25">
      <c r="C236" s="53"/>
      <c r="D236" s="66"/>
      <c r="E236" s="66"/>
      <c r="F236" s="66"/>
    </row>
    <row r="237" spans="3:6" x14ac:dyDescent="0.25">
      <c r="C237" s="53"/>
      <c r="D237" s="66"/>
      <c r="E237" s="66"/>
      <c r="F237" s="66"/>
    </row>
    <row r="238" spans="3:6" x14ac:dyDescent="0.25">
      <c r="C238" s="53"/>
      <c r="D238" s="66"/>
      <c r="E238" s="66"/>
      <c r="F238" s="66"/>
    </row>
    <row r="239" spans="3:6" x14ac:dyDescent="0.25">
      <c r="C239" s="53"/>
      <c r="D239" s="66"/>
      <c r="E239" s="66"/>
      <c r="F239" s="66"/>
    </row>
    <row r="240" spans="3:6" x14ac:dyDescent="0.25">
      <c r="C240" s="53"/>
      <c r="D240" s="66"/>
      <c r="E240" s="66"/>
      <c r="F240" s="66"/>
    </row>
    <row r="241" spans="3:6" x14ac:dyDescent="0.25">
      <c r="C241" s="53"/>
      <c r="D241" s="66"/>
      <c r="E241" s="66"/>
      <c r="F241" s="66"/>
    </row>
    <row r="242" spans="3:6" x14ac:dyDescent="0.25">
      <c r="C242" s="53"/>
      <c r="D242" s="66"/>
      <c r="E242" s="66"/>
      <c r="F242" s="66"/>
    </row>
    <row r="243" spans="3:6" x14ac:dyDescent="0.25">
      <c r="C243" s="53"/>
      <c r="D243" s="66"/>
      <c r="E243" s="66"/>
      <c r="F243" s="66"/>
    </row>
    <row r="244" spans="3:6" x14ac:dyDescent="0.25">
      <c r="C244" s="53"/>
      <c r="D244" s="66"/>
      <c r="E244" s="66"/>
      <c r="F244" s="66"/>
    </row>
    <row r="245" spans="3:6" x14ac:dyDescent="0.25">
      <c r="C245" s="53"/>
      <c r="D245" s="66"/>
      <c r="E245" s="66"/>
      <c r="F245" s="66"/>
    </row>
    <row r="246" spans="3:6" x14ac:dyDescent="0.25">
      <c r="C246" s="53"/>
      <c r="D246" s="66"/>
      <c r="E246" s="66"/>
      <c r="F246" s="66"/>
    </row>
    <row r="247" spans="3:6" x14ac:dyDescent="0.25">
      <c r="C247" s="53"/>
      <c r="D247" s="66"/>
      <c r="E247" s="66"/>
      <c r="F247" s="66"/>
    </row>
    <row r="248" spans="3:6" x14ac:dyDescent="0.25">
      <c r="C248" s="53"/>
      <c r="D248" s="66"/>
      <c r="E248" s="66"/>
      <c r="F248" s="66"/>
    </row>
    <row r="249" spans="3:6" x14ac:dyDescent="0.25">
      <c r="C249" s="53"/>
      <c r="D249" s="66"/>
      <c r="E249" s="66"/>
      <c r="F249" s="66"/>
    </row>
    <row r="250" spans="3:6" x14ac:dyDescent="0.25">
      <c r="C250" s="53"/>
      <c r="D250" s="66"/>
      <c r="E250" s="66"/>
      <c r="F250" s="66"/>
    </row>
    <row r="251" spans="3:6" x14ac:dyDescent="0.25">
      <c r="C251" s="53"/>
      <c r="D251" s="66"/>
      <c r="E251" s="66"/>
      <c r="F251" s="66"/>
    </row>
    <row r="252" spans="3:6" x14ac:dyDescent="0.25">
      <c r="C252" s="53"/>
      <c r="D252" s="66"/>
      <c r="E252" s="66"/>
      <c r="F252" s="66"/>
    </row>
    <row r="253" spans="3:6" x14ac:dyDescent="0.25">
      <c r="C253" s="53"/>
      <c r="D253" s="66"/>
      <c r="E253" s="66"/>
      <c r="F253" s="66"/>
    </row>
    <row r="254" spans="3:6" x14ac:dyDescent="0.25">
      <c r="C254" s="53"/>
      <c r="D254" s="66"/>
      <c r="E254" s="66"/>
      <c r="F254" s="66"/>
    </row>
    <row r="255" spans="3:6" x14ac:dyDescent="0.25">
      <c r="C255" s="53"/>
      <c r="D255" s="66"/>
      <c r="E255" s="66"/>
      <c r="F255" s="66"/>
    </row>
    <row r="256" spans="3:6" x14ac:dyDescent="0.25">
      <c r="C256" s="53"/>
      <c r="D256" s="66"/>
      <c r="E256" s="66"/>
      <c r="F256" s="66"/>
    </row>
    <row r="257" spans="3:6" x14ac:dyDescent="0.25">
      <c r="C257" s="53"/>
      <c r="D257" s="66"/>
      <c r="E257" s="66"/>
      <c r="F257" s="66"/>
    </row>
    <row r="258" spans="3:6" x14ac:dyDescent="0.25">
      <c r="C258" s="53"/>
      <c r="D258" s="66"/>
      <c r="E258" s="66"/>
      <c r="F258" s="66"/>
    </row>
    <row r="259" spans="3:6" x14ac:dyDescent="0.25">
      <c r="C259" s="53"/>
      <c r="D259" s="66"/>
      <c r="E259" s="66"/>
      <c r="F259" s="66"/>
    </row>
    <row r="260" spans="3:6" x14ac:dyDescent="0.25">
      <c r="C260" s="53"/>
      <c r="D260" s="66"/>
      <c r="E260" s="66"/>
      <c r="F260" s="66"/>
    </row>
    <row r="261" spans="3:6" x14ac:dyDescent="0.25">
      <c r="C261" s="53"/>
      <c r="D261" s="66"/>
      <c r="E261" s="66"/>
      <c r="F261" s="66"/>
    </row>
    <row r="262" spans="3:6" x14ac:dyDescent="0.25">
      <c r="C262" s="53"/>
      <c r="D262" s="66"/>
      <c r="E262" s="66"/>
      <c r="F262" s="66"/>
    </row>
    <row r="263" spans="3:6" x14ac:dyDescent="0.25">
      <c r="C263" s="53"/>
      <c r="D263" s="66"/>
      <c r="E263" s="66"/>
      <c r="F263" s="66"/>
    </row>
    <row r="264" spans="3:6" x14ac:dyDescent="0.25">
      <c r="C264" s="53"/>
      <c r="D264" s="66"/>
      <c r="E264" s="66"/>
      <c r="F264" s="66"/>
    </row>
    <row r="265" spans="3:6" x14ac:dyDescent="0.25">
      <c r="C265" s="53"/>
      <c r="D265" s="66"/>
      <c r="E265" s="66"/>
      <c r="F265" s="66"/>
    </row>
    <row r="266" spans="3:6" x14ac:dyDescent="0.25">
      <c r="C266" s="53"/>
      <c r="D266" s="66"/>
      <c r="E266" s="66"/>
      <c r="F266" s="66"/>
    </row>
    <row r="267" spans="3:6" x14ac:dyDescent="0.25">
      <c r="C267" s="53"/>
      <c r="D267" s="66"/>
      <c r="E267" s="66"/>
      <c r="F267" s="66"/>
    </row>
    <row r="268" spans="3:6" x14ac:dyDescent="0.25">
      <c r="C268" s="53"/>
      <c r="D268" s="66"/>
      <c r="E268" s="66"/>
      <c r="F268" s="66"/>
    </row>
    <row r="269" spans="3:6" x14ac:dyDescent="0.25">
      <c r="C269" s="53"/>
      <c r="D269" s="66"/>
      <c r="E269" s="66"/>
      <c r="F269" s="66"/>
    </row>
    <row r="270" spans="3:6" x14ac:dyDescent="0.25">
      <c r="C270" s="53"/>
      <c r="D270" s="66"/>
      <c r="E270" s="66"/>
      <c r="F270" s="66"/>
    </row>
    <row r="271" spans="3:6" x14ac:dyDescent="0.25">
      <c r="C271" s="53"/>
      <c r="D271" s="66"/>
      <c r="E271" s="66"/>
      <c r="F271" s="66"/>
    </row>
    <row r="272" spans="3:6" x14ac:dyDescent="0.25">
      <c r="C272" s="53"/>
      <c r="D272" s="66"/>
      <c r="E272" s="66"/>
      <c r="F272" s="66"/>
    </row>
    <row r="273" spans="3:6" x14ac:dyDescent="0.25">
      <c r="C273" s="53"/>
      <c r="D273" s="66"/>
      <c r="E273" s="66"/>
      <c r="F273" s="66"/>
    </row>
    <row r="274" spans="3:6" x14ac:dyDescent="0.25">
      <c r="C274" s="53"/>
      <c r="D274" s="66"/>
      <c r="E274" s="66"/>
      <c r="F274" s="66"/>
    </row>
    <row r="275" spans="3:6" x14ac:dyDescent="0.25">
      <c r="C275" s="53"/>
      <c r="D275" s="66"/>
      <c r="E275" s="66"/>
      <c r="F275" s="66"/>
    </row>
    <row r="276" spans="3:6" x14ac:dyDescent="0.25">
      <c r="C276" s="53"/>
      <c r="D276" s="66"/>
      <c r="E276" s="66"/>
      <c r="F276" s="66"/>
    </row>
    <row r="277" spans="3:6" x14ac:dyDescent="0.25">
      <c r="C277" s="53"/>
      <c r="D277" s="66"/>
      <c r="E277" s="66"/>
      <c r="F277" s="66"/>
    </row>
    <row r="278" spans="3:6" x14ac:dyDescent="0.25">
      <c r="C278" s="53"/>
      <c r="D278" s="66"/>
      <c r="E278" s="66"/>
      <c r="F278" s="66"/>
    </row>
    <row r="279" spans="3:6" x14ac:dyDescent="0.25">
      <c r="C279" s="53"/>
      <c r="D279" s="66"/>
      <c r="E279" s="66"/>
      <c r="F279" s="66"/>
    </row>
    <row r="280" spans="3:6" x14ac:dyDescent="0.25">
      <c r="C280" s="53"/>
      <c r="D280" s="66"/>
      <c r="E280" s="66"/>
      <c r="F280" s="66"/>
    </row>
    <row r="281" spans="3:6" x14ac:dyDescent="0.25">
      <c r="C281" s="53"/>
      <c r="D281" s="66"/>
      <c r="E281" s="66"/>
      <c r="F281" s="66"/>
    </row>
    <row r="282" spans="3:6" x14ac:dyDescent="0.25">
      <c r="C282" s="53"/>
      <c r="D282" s="66"/>
      <c r="E282" s="66"/>
      <c r="F282" s="66"/>
    </row>
    <row r="283" spans="3:6" x14ac:dyDescent="0.25">
      <c r="C283" s="53"/>
      <c r="D283" s="66"/>
      <c r="E283" s="66"/>
      <c r="F283" s="66"/>
    </row>
    <row r="284" spans="3:6" x14ac:dyDescent="0.25">
      <c r="C284" s="53"/>
      <c r="D284" s="66"/>
      <c r="E284" s="66"/>
      <c r="F284" s="66"/>
    </row>
    <row r="285" spans="3:6" x14ac:dyDescent="0.25">
      <c r="C285" s="53"/>
      <c r="D285" s="66"/>
      <c r="E285" s="66"/>
      <c r="F285" s="66"/>
    </row>
    <row r="286" spans="3:6" x14ac:dyDescent="0.25">
      <c r="C286" s="53"/>
      <c r="D286" s="66"/>
      <c r="E286" s="66"/>
      <c r="F286" s="66"/>
    </row>
    <row r="287" spans="3:6" x14ac:dyDescent="0.25">
      <c r="C287" s="53"/>
      <c r="D287" s="66"/>
      <c r="E287" s="66"/>
      <c r="F287" s="66"/>
    </row>
    <row r="288" spans="3:6" x14ac:dyDescent="0.25">
      <c r="C288" s="53"/>
      <c r="D288" s="66"/>
      <c r="E288" s="66"/>
      <c r="F288" s="66"/>
    </row>
    <row r="289" spans="3:6" x14ac:dyDescent="0.25">
      <c r="C289" s="53"/>
      <c r="D289" s="66"/>
      <c r="E289" s="66"/>
      <c r="F289" s="66"/>
    </row>
    <row r="290" spans="3:6" x14ac:dyDescent="0.25">
      <c r="C290" s="53"/>
      <c r="D290" s="66"/>
      <c r="E290" s="66"/>
      <c r="F290" s="66"/>
    </row>
    <row r="291" spans="3:6" x14ac:dyDescent="0.25">
      <c r="C291" s="53"/>
      <c r="D291" s="66"/>
      <c r="E291" s="66"/>
      <c r="F291" s="66"/>
    </row>
    <row r="292" spans="3:6" x14ac:dyDescent="0.25">
      <c r="C292" s="53"/>
      <c r="D292" s="66"/>
      <c r="E292" s="66"/>
      <c r="F292" s="66"/>
    </row>
    <row r="293" spans="3:6" x14ac:dyDescent="0.25">
      <c r="C293" s="53"/>
      <c r="D293" s="66"/>
      <c r="E293" s="66"/>
      <c r="F293" s="66"/>
    </row>
    <row r="294" spans="3:6" x14ac:dyDescent="0.25">
      <c r="C294" s="53"/>
      <c r="D294" s="66"/>
      <c r="E294" s="66"/>
      <c r="F294" s="66"/>
    </row>
    <row r="295" spans="3:6" x14ac:dyDescent="0.25">
      <c r="C295" s="53"/>
      <c r="D295" s="66"/>
      <c r="E295" s="66"/>
      <c r="F295" s="66"/>
    </row>
    <row r="296" spans="3:6" x14ac:dyDescent="0.25">
      <c r="C296" s="53"/>
      <c r="D296" s="66"/>
      <c r="E296" s="66"/>
      <c r="F296" s="66"/>
    </row>
    <row r="297" spans="3:6" x14ac:dyDescent="0.25">
      <c r="C297" s="53"/>
      <c r="D297" s="66"/>
      <c r="E297" s="66"/>
      <c r="F297" s="66"/>
    </row>
    <row r="298" spans="3:6" x14ac:dyDescent="0.25">
      <c r="C298" s="53"/>
      <c r="D298" s="66"/>
      <c r="E298" s="66"/>
      <c r="F298" s="66"/>
    </row>
    <row r="299" spans="3:6" x14ac:dyDescent="0.25">
      <c r="C299" s="53"/>
      <c r="D299" s="66"/>
      <c r="E299" s="66"/>
      <c r="F299" s="66"/>
    </row>
    <row r="300" spans="3:6" x14ac:dyDescent="0.25">
      <c r="C300" s="53"/>
      <c r="D300" s="66"/>
      <c r="E300" s="66"/>
      <c r="F300" s="66"/>
    </row>
    <row r="301" spans="3:6" x14ac:dyDescent="0.25">
      <c r="C301" s="53"/>
      <c r="D301" s="66"/>
      <c r="E301" s="66"/>
      <c r="F301" s="66"/>
    </row>
    <row r="302" spans="3:6" x14ac:dyDescent="0.25">
      <c r="C302" s="53"/>
      <c r="D302" s="66"/>
      <c r="E302" s="66"/>
      <c r="F302" s="66"/>
    </row>
    <row r="303" spans="3:6" x14ac:dyDescent="0.25">
      <c r="C303" s="53"/>
      <c r="D303" s="66"/>
      <c r="E303" s="66"/>
      <c r="F303" s="66"/>
    </row>
    <row r="304" spans="3:6" x14ac:dyDescent="0.25">
      <c r="C304" s="53"/>
      <c r="D304" s="66"/>
      <c r="E304" s="66"/>
      <c r="F304" s="66"/>
    </row>
    <row r="305" spans="3:6" x14ac:dyDescent="0.25">
      <c r="C305" s="53"/>
      <c r="D305" s="66"/>
      <c r="E305" s="66"/>
      <c r="F305" s="66"/>
    </row>
    <row r="306" spans="3:6" x14ac:dyDescent="0.25">
      <c r="C306" s="53"/>
      <c r="D306" s="66"/>
      <c r="E306" s="66"/>
      <c r="F306" s="66"/>
    </row>
    <row r="307" spans="3:6" x14ac:dyDescent="0.25">
      <c r="C307" s="53"/>
      <c r="D307" s="66"/>
      <c r="E307" s="66"/>
      <c r="F307" s="66"/>
    </row>
    <row r="308" spans="3:6" x14ac:dyDescent="0.25">
      <c r="C308" s="53"/>
      <c r="D308" s="66"/>
      <c r="E308" s="66"/>
      <c r="F308" s="66"/>
    </row>
    <row r="309" spans="3:6" x14ac:dyDescent="0.25">
      <c r="C309" s="53"/>
      <c r="D309" s="66"/>
      <c r="E309" s="66"/>
      <c r="F309" s="66"/>
    </row>
    <row r="310" spans="3:6" x14ac:dyDescent="0.25">
      <c r="C310" s="53"/>
      <c r="D310" s="66"/>
      <c r="E310" s="66"/>
      <c r="F310" s="66"/>
    </row>
    <row r="311" spans="3:6" x14ac:dyDescent="0.25">
      <c r="C311" s="53"/>
      <c r="D311" s="66"/>
      <c r="E311" s="66"/>
      <c r="F311" s="66"/>
    </row>
    <row r="312" spans="3:6" x14ac:dyDescent="0.25">
      <c r="C312" s="53"/>
      <c r="D312" s="66"/>
      <c r="E312" s="66"/>
      <c r="F312" s="66"/>
    </row>
    <row r="313" spans="3:6" x14ac:dyDescent="0.25">
      <c r="C313" s="53"/>
      <c r="D313" s="66"/>
      <c r="E313" s="66"/>
      <c r="F313" s="66"/>
    </row>
    <row r="314" spans="3:6" x14ac:dyDescent="0.25">
      <c r="C314" s="53"/>
      <c r="D314" s="66"/>
      <c r="E314" s="66"/>
      <c r="F314" s="66"/>
    </row>
    <row r="315" spans="3:6" x14ac:dyDescent="0.25">
      <c r="C315" s="53"/>
      <c r="D315" s="66"/>
      <c r="E315" s="66"/>
      <c r="F315" s="66"/>
    </row>
    <row r="316" spans="3:6" x14ac:dyDescent="0.25">
      <c r="C316" s="53"/>
      <c r="D316" s="66"/>
      <c r="E316" s="66"/>
      <c r="F316" s="66"/>
    </row>
    <row r="317" spans="3:6" x14ac:dyDescent="0.25">
      <c r="C317" s="53"/>
      <c r="D317" s="66"/>
      <c r="E317" s="66"/>
      <c r="F317" s="66"/>
    </row>
    <row r="318" spans="3:6" x14ac:dyDescent="0.25">
      <c r="C318" s="53"/>
      <c r="D318" s="66"/>
      <c r="E318" s="66"/>
      <c r="F318" s="66"/>
    </row>
    <row r="319" spans="3:6" x14ac:dyDescent="0.25">
      <c r="C319" s="53"/>
      <c r="D319" s="66"/>
      <c r="E319" s="66"/>
      <c r="F319" s="66"/>
    </row>
    <row r="320" spans="3:6" x14ac:dyDescent="0.25">
      <c r="C320" s="53"/>
      <c r="D320" s="66"/>
      <c r="E320" s="66"/>
      <c r="F320" s="66"/>
    </row>
    <row r="321" spans="3:6" x14ac:dyDescent="0.25">
      <c r="C321" s="53"/>
      <c r="D321" s="66"/>
      <c r="E321" s="66"/>
      <c r="F321" s="66"/>
    </row>
    <row r="322" spans="3:6" x14ac:dyDescent="0.25">
      <c r="C322" s="53"/>
      <c r="D322" s="66"/>
      <c r="E322" s="66"/>
      <c r="F322" s="66"/>
    </row>
    <row r="323" spans="3:6" x14ac:dyDescent="0.25">
      <c r="C323" s="53"/>
      <c r="D323" s="66"/>
      <c r="E323" s="66"/>
      <c r="F323" s="66"/>
    </row>
    <row r="324" spans="3:6" x14ac:dyDescent="0.25">
      <c r="C324" s="53"/>
      <c r="D324" s="66"/>
      <c r="E324" s="66"/>
      <c r="F324" s="66"/>
    </row>
    <row r="325" spans="3:6" x14ac:dyDescent="0.25">
      <c r="C325" s="53"/>
      <c r="D325" s="66"/>
      <c r="E325" s="66"/>
      <c r="F325" s="66"/>
    </row>
    <row r="326" spans="3:6" x14ac:dyDescent="0.25">
      <c r="C326" s="53"/>
      <c r="D326" s="66"/>
      <c r="E326" s="66"/>
      <c r="F326" s="66"/>
    </row>
    <row r="327" spans="3:6" x14ac:dyDescent="0.25">
      <c r="C327" s="53"/>
      <c r="D327" s="66"/>
      <c r="E327" s="66"/>
      <c r="F327" s="66"/>
    </row>
    <row r="328" spans="3:6" x14ac:dyDescent="0.25">
      <c r="C328" s="53"/>
      <c r="D328" s="66"/>
      <c r="E328" s="66"/>
      <c r="F328" s="66"/>
    </row>
    <row r="329" spans="3:6" x14ac:dyDescent="0.25">
      <c r="C329" s="53"/>
      <c r="D329" s="66"/>
      <c r="E329" s="66"/>
      <c r="F329" s="66"/>
    </row>
    <row r="330" spans="3:6" x14ac:dyDescent="0.25">
      <c r="C330" s="53"/>
      <c r="D330" s="66"/>
      <c r="E330" s="66"/>
      <c r="F330" s="66"/>
    </row>
    <row r="331" spans="3:6" x14ac:dyDescent="0.25">
      <c r="C331" s="53"/>
      <c r="D331" s="66"/>
      <c r="E331" s="66"/>
      <c r="F331" s="66"/>
    </row>
    <row r="332" spans="3:6" x14ac:dyDescent="0.25">
      <c r="C332" s="53"/>
      <c r="D332" s="66"/>
      <c r="E332" s="66"/>
      <c r="F332" s="66"/>
    </row>
    <row r="333" spans="3:6" x14ac:dyDescent="0.25">
      <c r="C333" s="53"/>
      <c r="D333" s="66"/>
      <c r="E333" s="66"/>
      <c r="F333" s="66"/>
    </row>
    <row r="334" spans="3:6" x14ac:dyDescent="0.25">
      <c r="C334" s="53"/>
      <c r="D334" s="66"/>
      <c r="E334" s="66"/>
      <c r="F334" s="66"/>
    </row>
    <row r="335" spans="3:6" x14ac:dyDescent="0.25">
      <c r="C335" s="53"/>
      <c r="D335" s="66"/>
      <c r="E335" s="66"/>
      <c r="F335" s="66"/>
    </row>
    <row r="336" spans="3:6" x14ac:dyDescent="0.25">
      <c r="C336" s="53"/>
      <c r="D336" s="66"/>
      <c r="E336" s="66"/>
      <c r="F336" s="66"/>
    </row>
    <row r="337" spans="3:6" x14ac:dyDescent="0.25">
      <c r="C337" s="53"/>
      <c r="D337" s="66"/>
      <c r="E337" s="66"/>
      <c r="F337" s="66"/>
    </row>
    <row r="338" spans="3:6" x14ac:dyDescent="0.25">
      <c r="C338" s="53"/>
      <c r="D338" s="66"/>
      <c r="E338" s="66"/>
      <c r="F338" s="66"/>
    </row>
    <row r="339" spans="3:6" x14ac:dyDescent="0.25">
      <c r="C339" s="53"/>
      <c r="D339" s="66"/>
      <c r="E339" s="66"/>
      <c r="F339" s="66"/>
    </row>
    <row r="340" spans="3:6" x14ac:dyDescent="0.25">
      <c r="C340" s="53"/>
      <c r="D340" s="66"/>
      <c r="E340" s="66"/>
      <c r="F340" s="66"/>
    </row>
    <row r="341" spans="3:6" x14ac:dyDescent="0.25">
      <c r="C341" s="53"/>
      <c r="D341" s="66"/>
      <c r="E341" s="66"/>
      <c r="F341" s="66"/>
    </row>
    <row r="342" spans="3:6" x14ac:dyDescent="0.25">
      <c r="C342" s="53"/>
      <c r="D342" s="66"/>
      <c r="E342" s="66"/>
      <c r="F342" s="66"/>
    </row>
    <row r="343" spans="3:6" x14ac:dyDescent="0.25">
      <c r="C343" s="53"/>
      <c r="D343" s="66"/>
      <c r="E343" s="66"/>
      <c r="F343" s="66"/>
    </row>
    <row r="344" spans="3:6" x14ac:dyDescent="0.25">
      <c r="C344" s="53"/>
      <c r="D344" s="66"/>
      <c r="E344" s="66"/>
      <c r="F344" s="66"/>
    </row>
    <row r="345" spans="3:6" x14ac:dyDescent="0.25">
      <c r="C345" s="53"/>
      <c r="D345" s="66"/>
      <c r="E345" s="66"/>
      <c r="F345" s="66"/>
    </row>
    <row r="346" spans="3:6" x14ac:dyDescent="0.25">
      <c r="C346" s="53"/>
      <c r="D346" s="66"/>
      <c r="E346" s="66"/>
      <c r="F346" s="66"/>
    </row>
    <row r="347" spans="3:6" x14ac:dyDescent="0.25">
      <c r="C347" s="53"/>
      <c r="D347" s="66"/>
      <c r="E347" s="66"/>
      <c r="F347" s="66"/>
    </row>
    <row r="348" spans="3:6" x14ac:dyDescent="0.25">
      <c r="C348" s="53"/>
      <c r="D348" s="66"/>
      <c r="E348" s="66"/>
      <c r="F348" s="66"/>
    </row>
    <row r="349" spans="3:6" x14ac:dyDescent="0.25">
      <c r="C349" s="53"/>
      <c r="D349" s="66"/>
      <c r="E349" s="66"/>
      <c r="F349" s="66"/>
    </row>
    <row r="350" spans="3:6" x14ac:dyDescent="0.25">
      <c r="C350" s="53"/>
      <c r="D350" s="66"/>
      <c r="E350" s="66"/>
      <c r="F350" s="66"/>
    </row>
    <row r="351" spans="3:6" x14ac:dyDescent="0.25">
      <c r="C351" s="53"/>
      <c r="D351" s="66"/>
      <c r="E351" s="66"/>
      <c r="F351" s="66"/>
    </row>
    <row r="352" spans="3:6" x14ac:dyDescent="0.25">
      <c r="C352" s="53"/>
      <c r="D352" s="66"/>
      <c r="E352" s="66"/>
      <c r="F352" s="66"/>
    </row>
    <row r="353" spans="3:6" x14ac:dyDescent="0.25">
      <c r="C353" s="53"/>
      <c r="D353" s="66"/>
      <c r="E353" s="66"/>
      <c r="F353" s="66"/>
    </row>
    <row r="354" spans="3:6" x14ac:dyDescent="0.25">
      <c r="C354" s="53"/>
      <c r="D354" s="66"/>
      <c r="E354" s="66"/>
      <c r="F354" s="66"/>
    </row>
    <row r="355" spans="3:6" x14ac:dyDescent="0.25">
      <c r="C355" s="53"/>
      <c r="D355" s="66"/>
      <c r="E355" s="66"/>
      <c r="F355" s="66"/>
    </row>
    <row r="356" spans="3:6" x14ac:dyDescent="0.25">
      <c r="C356" s="53"/>
      <c r="D356" s="66"/>
      <c r="E356" s="66"/>
      <c r="F356" s="66"/>
    </row>
    <row r="357" spans="3:6" x14ac:dyDescent="0.25">
      <c r="C357" s="53"/>
      <c r="D357" s="66"/>
      <c r="E357" s="66"/>
      <c r="F357" s="66"/>
    </row>
    <row r="358" spans="3:6" x14ac:dyDescent="0.25">
      <c r="C358" s="53"/>
      <c r="D358" s="66"/>
      <c r="E358" s="66"/>
      <c r="F358" s="66"/>
    </row>
    <row r="359" spans="3:6" x14ac:dyDescent="0.25">
      <c r="C359" s="53"/>
      <c r="D359" s="66"/>
      <c r="E359" s="66"/>
      <c r="F359" s="66"/>
    </row>
    <row r="360" spans="3:6" x14ac:dyDescent="0.25">
      <c r="C360" s="53"/>
      <c r="D360" s="66"/>
      <c r="E360" s="66"/>
      <c r="F360" s="66"/>
    </row>
    <row r="361" spans="3:6" x14ac:dyDescent="0.25">
      <c r="C361" s="53"/>
      <c r="D361" s="66"/>
      <c r="E361" s="66"/>
      <c r="F361" s="66"/>
    </row>
    <row r="362" spans="3:6" x14ac:dyDescent="0.25">
      <c r="C362" s="53"/>
      <c r="D362" s="66"/>
      <c r="E362" s="66"/>
      <c r="F362" s="66"/>
    </row>
    <row r="363" spans="3:6" x14ac:dyDescent="0.25">
      <c r="C363" s="53"/>
      <c r="D363" s="66"/>
      <c r="E363" s="66"/>
      <c r="F363" s="66"/>
    </row>
    <row r="364" spans="3:6" x14ac:dyDescent="0.25">
      <c r="C364" s="53"/>
      <c r="D364" s="66"/>
      <c r="E364" s="66"/>
      <c r="F364" s="66"/>
    </row>
    <row r="365" spans="3:6" x14ac:dyDescent="0.25">
      <c r="C365" s="53"/>
      <c r="D365" s="66"/>
      <c r="E365" s="66"/>
      <c r="F365" s="66"/>
    </row>
    <row r="366" spans="3:6" x14ac:dyDescent="0.25">
      <c r="C366" s="53"/>
      <c r="D366" s="66"/>
      <c r="E366" s="66"/>
      <c r="F366" s="66"/>
    </row>
    <row r="367" spans="3:6" x14ac:dyDescent="0.25">
      <c r="C367" s="53"/>
      <c r="D367" s="66"/>
      <c r="E367" s="66"/>
      <c r="F367" s="66"/>
    </row>
    <row r="368" spans="3:6" x14ac:dyDescent="0.25">
      <c r="C368" s="53"/>
      <c r="D368" s="66"/>
      <c r="E368" s="66"/>
      <c r="F368" s="66"/>
    </row>
    <row r="369" spans="3:6" x14ac:dyDescent="0.25">
      <c r="C369" s="53"/>
      <c r="D369" s="66"/>
      <c r="E369" s="66"/>
      <c r="F369" s="66"/>
    </row>
    <row r="370" spans="3:6" x14ac:dyDescent="0.25">
      <c r="C370" s="53"/>
      <c r="D370" s="66"/>
      <c r="E370" s="66"/>
      <c r="F370" s="66"/>
    </row>
    <row r="371" spans="3:6" x14ac:dyDescent="0.25">
      <c r="C371" s="53"/>
      <c r="D371" s="66"/>
      <c r="E371" s="66"/>
      <c r="F371" s="66"/>
    </row>
    <row r="372" spans="3:6" x14ac:dyDescent="0.25">
      <c r="C372" s="53"/>
      <c r="D372" s="66"/>
      <c r="E372" s="66"/>
      <c r="F372" s="66"/>
    </row>
    <row r="373" spans="3:6" x14ac:dyDescent="0.25">
      <c r="C373" s="53"/>
      <c r="D373" s="66"/>
      <c r="E373" s="66"/>
      <c r="F373" s="66"/>
    </row>
    <row r="374" spans="3:6" x14ac:dyDescent="0.25">
      <c r="C374" s="53"/>
      <c r="D374" s="66"/>
      <c r="E374" s="66"/>
      <c r="F374" s="66"/>
    </row>
    <row r="375" spans="3:6" x14ac:dyDescent="0.25">
      <c r="C375" s="53"/>
      <c r="D375" s="66"/>
      <c r="E375" s="66"/>
      <c r="F375" s="66"/>
    </row>
    <row r="376" spans="3:6" x14ac:dyDescent="0.25">
      <c r="C376" s="53"/>
      <c r="D376" s="66"/>
      <c r="E376" s="66"/>
      <c r="F376" s="66"/>
    </row>
    <row r="377" spans="3:6" x14ac:dyDescent="0.25">
      <c r="C377" s="53"/>
      <c r="D377" s="66"/>
      <c r="E377" s="66"/>
      <c r="F377" s="66"/>
    </row>
    <row r="378" spans="3:6" x14ac:dyDescent="0.25">
      <c r="C378" s="53"/>
      <c r="D378" s="66"/>
      <c r="E378" s="66"/>
      <c r="F378" s="66"/>
    </row>
    <row r="379" spans="3:6" x14ac:dyDescent="0.25">
      <c r="C379" s="53"/>
      <c r="D379" s="66"/>
      <c r="E379" s="66"/>
      <c r="F379" s="66"/>
    </row>
    <row r="380" spans="3:6" x14ac:dyDescent="0.25">
      <c r="C380" s="53"/>
      <c r="D380" s="66"/>
      <c r="E380" s="66"/>
      <c r="F380" s="66"/>
    </row>
    <row r="381" spans="3:6" x14ac:dyDescent="0.25">
      <c r="C381" s="53"/>
      <c r="D381" s="66"/>
      <c r="E381" s="66"/>
      <c r="F381" s="66"/>
    </row>
    <row r="382" spans="3:6" x14ac:dyDescent="0.25">
      <c r="C382" s="53"/>
      <c r="D382" s="66"/>
      <c r="E382" s="66"/>
      <c r="F382" s="66"/>
    </row>
    <row r="383" spans="3:6" x14ac:dyDescent="0.25">
      <c r="C383" s="53"/>
      <c r="D383" s="66"/>
      <c r="E383" s="66"/>
      <c r="F383" s="66"/>
    </row>
    <row r="384" spans="3:6" x14ac:dyDescent="0.25">
      <c r="C384" s="53"/>
      <c r="D384" s="66"/>
      <c r="E384" s="66"/>
      <c r="F384" s="66"/>
    </row>
    <row r="385" spans="3:6" x14ac:dyDescent="0.25">
      <c r="C385" s="53"/>
      <c r="D385" s="66"/>
      <c r="E385" s="66"/>
      <c r="F385" s="66"/>
    </row>
    <row r="386" spans="3:6" x14ac:dyDescent="0.25">
      <c r="C386" s="53"/>
      <c r="D386" s="66"/>
      <c r="E386" s="66"/>
      <c r="F386" s="66"/>
    </row>
    <row r="387" spans="3:6" x14ac:dyDescent="0.25">
      <c r="C387" s="53"/>
      <c r="D387" s="66"/>
      <c r="E387" s="66"/>
      <c r="F387" s="66"/>
    </row>
    <row r="388" spans="3:6" x14ac:dyDescent="0.25">
      <c r="C388" s="53"/>
      <c r="D388" s="66"/>
      <c r="E388" s="66"/>
      <c r="F388" s="66"/>
    </row>
    <row r="389" spans="3:6" x14ac:dyDescent="0.25">
      <c r="C389" s="53"/>
      <c r="D389" s="66"/>
      <c r="E389" s="66"/>
      <c r="F389" s="66"/>
    </row>
    <row r="390" spans="3:6" x14ac:dyDescent="0.25">
      <c r="C390" s="53"/>
      <c r="D390" s="66"/>
      <c r="E390" s="66"/>
      <c r="F390" s="66"/>
    </row>
    <row r="391" spans="3:6" x14ac:dyDescent="0.25">
      <c r="C391" s="53"/>
      <c r="D391" s="66"/>
      <c r="E391" s="66"/>
      <c r="F391" s="66"/>
    </row>
    <row r="392" spans="3:6" x14ac:dyDescent="0.25">
      <c r="C392" s="53"/>
      <c r="D392" s="66"/>
      <c r="E392" s="66"/>
      <c r="F392" s="66"/>
    </row>
    <row r="393" spans="3:6" x14ac:dyDescent="0.25">
      <c r="C393" s="53"/>
      <c r="D393" s="66"/>
      <c r="E393" s="66"/>
      <c r="F393" s="66"/>
    </row>
    <row r="394" spans="3:6" x14ac:dyDescent="0.25">
      <c r="C394" s="53"/>
      <c r="D394" s="66"/>
      <c r="E394" s="66"/>
      <c r="F394" s="66"/>
    </row>
    <row r="395" spans="3:6" x14ac:dyDescent="0.25">
      <c r="C395" s="53"/>
      <c r="D395" s="66"/>
      <c r="E395" s="66"/>
      <c r="F395" s="66"/>
    </row>
    <row r="396" spans="3:6" x14ac:dyDescent="0.25">
      <c r="C396" s="53"/>
      <c r="D396" s="66"/>
      <c r="E396" s="66"/>
      <c r="F396" s="66"/>
    </row>
    <row r="397" spans="3:6" x14ac:dyDescent="0.25">
      <c r="C397" s="53"/>
      <c r="D397" s="66"/>
      <c r="E397" s="66"/>
      <c r="F397" s="66"/>
    </row>
    <row r="398" spans="3:6" x14ac:dyDescent="0.25">
      <c r="C398" s="53"/>
      <c r="D398" s="66"/>
      <c r="E398" s="66"/>
      <c r="F398" s="66"/>
    </row>
    <row r="399" spans="3:6" x14ac:dyDescent="0.25">
      <c r="C399" s="53"/>
      <c r="D399" s="66"/>
      <c r="E399" s="66"/>
      <c r="F399" s="66"/>
    </row>
    <row r="400" spans="3:6" x14ac:dyDescent="0.25">
      <c r="C400" s="53"/>
      <c r="D400" s="66"/>
      <c r="E400" s="66"/>
      <c r="F400" s="66"/>
    </row>
    <row r="401" spans="3:6" x14ac:dyDescent="0.25">
      <c r="C401" s="53"/>
      <c r="D401" s="66"/>
      <c r="E401" s="66"/>
      <c r="F401" s="66"/>
    </row>
    <row r="402" spans="3:6" x14ac:dyDescent="0.25">
      <c r="C402" s="53"/>
      <c r="D402" s="66"/>
      <c r="E402" s="66"/>
      <c r="F402" s="66"/>
    </row>
    <row r="403" spans="3:6" x14ac:dyDescent="0.25">
      <c r="C403" s="53"/>
      <c r="D403" s="66"/>
      <c r="E403" s="66"/>
      <c r="F403" s="66"/>
    </row>
    <row r="404" spans="3:6" x14ac:dyDescent="0.25">
      <c r="C404" s="53"/>
      <c r="D404" s="66"/>
      <c r="E404" s="66"/>
      <c r="F404" s="66"/>
    </row>
    <row r="405" spans="3:6" x14ac:dyDescent="0.25">
      <c r="C405" s="53"/>
      <c r="D405" s="66"/>
      <c r="E405" s="66"/>
      <c r="F405" s="66"/>
    </row>
    <row r="406" spans="3:6" x14ac:dyDescent="0.25">
      <c r="C406" s="53"/>
      <c r="D406" s="66"/>
      <c r="E406" s="66"/>
      <c r="F406" s="66"/>
    </row>
    <row r="407" spans="3:6" x14ac:dyDescent="0.25">
      <c r="C407" s="53"/>
      <c r="D407" s="66"/>
      <c r="E407" s="66"/>
      <c r="F407" s="66"/>
    </row>
    <row r="408" spans="3:6" x14ac:dyDescent="0.25">
      <c r="C408" s="53"/>
      <c r="D408" s="66"/>
      <c r="E408" s="66"/>
      <c r="F408" s="66"/>
    </row>
    <row r="409" spans="3:6" x14ac:dyDescent="0.25">
      <c r="C409" s="53"/>
      <c r="D409" s="66"/>
      <c r="E409" s="66"/>
      <c r="F409" s="66"/>
    </row>
    <row r="410" spans="3:6" x14ac:dyDescent="0.25">
      <c r="C410" s="53"/>
      <c r="D410" s="66"/>
      <c r="E410" s="66"/>
      <c r="F410" s="66"/>
    </row>
    <row r="411" spans="3:6" x14ac:dyDescent="0.25">
      <c r="C411" s="53"/>
      <c r="D411" s="66"/>
      <c r="E411" s="66"/>
      <c r="F411" s="66"/>
    </row>
    <row r="412" spans="3:6" x14ac:dyDescent="0.25">
      <c r="C412" s="53"/>
      <c r="D412" s="66"/>
      <c r="E412" s="66"/>
      <c r="F412" s="66"/>
    </row>
    <row r="413" spans="3:6" x14ac:dyDescent="0.25">
      <c r="C413" s="53"/>
      <c r="D413" s="66"/>
      <c r="E413" s="66"/>
      <c r="F413" s="66"/>
    </row>
    <row r="414" spans="3:6" x14ac:dyDescent="0.25">
      <c r="C414" s="53"/>
      <c r="D414" s="66"/>
      <c r="E414" s="66"/>
      <c r="F414" s="66"/>
    </row>
    <row r="415" spans="3:6" x14ac:dyDescent="0.25">
      <c r="C415" s="53"/>
      <c r="D415" s="66"/>
      <c r="E415" s="66"/>
      <c r="F415" s="66"/>
    </row>
    <row r="416" spans="3:6" x14ac:dyDescent="0.25">
      <c r="C416" s="53"/>
      <c r="D416" s="66"/>
      <c r="E416" s="66"/>
      <c r="F416" s="66"/>
    </row>
    <row r="417" spans="3:6" x14ac:dyDescent="0.25">
      <c r="C417" s="53"/>
      <c r="D417" s="66"/>
      <c r="E417" s="66"/>
      <c r="F417" s="66"/>
    </row>
    <row r="418" spans="3:6" x14ac:dyDescent="0.25">
      <c r="C418" s="53"/>
      <c r="D418" s="66"/>
      <c r="E418" s="66"/>
      <c r="F418" s="66"/>
    </row>
    <row r="419" spans="3:6" x14ac:dyDescent="0.25">
      <c r="C419" s="53"/>
      <c r="D419" s="66"/>
      <c r="E419" s="66"/>
      <c r="F419" s="66"/>
    </row>
    <row r="420" spans="3:6" x14ac:dyDescent="0.25">
      <c r="C420" s="53"/>
      <c r="D420" s="66"/>
      <c r="E420" s="66"/>
      <c r="F420" s="66"/>
    </row>
    <row r="421" spans="3:6" x14ac:dyDescent="0.25">
      <c r="C421" s="53"/>
      <c r="D421" s="66"/>
      <c r="E421" s="66"/>
      <c r="F421" s="66"/>
    </row>
    <row r="422" spans="3:6" x14ac:dyDescent="0.25">
      <c r="C422" s="53"/>
      <c r="D422" s="66"/>
      <c r="E422" s="66"/>
      <c r="F422" s="66"/>
    </row>
    <row r="423" spans="3:6" x14ac:dyDescent="0.25">
      <c r="C423" s="53"/>
      <c r="D423" s="66"/>
      <c r="E423" s="66"/>
      <c r="F423" s="66"/>
    </row>
    <row r="424" spans="3:6" x14ac:dyDescent="0.25">
      <c r="C424" s="53"/>
      <c r="D424" s="66"/>
      <c r="E424" s="66"/>
      <c r="F424" s="66"/>
    </row>
    <row r="425" spans="3:6" x14ac:dyDescent="0.25">
      <c r="C425" s="53"/>
      <c r="D425" s="66"/>
      <c r="E425" s="66"/>
      <c r="F425" s="66"/>
    </row>
    <row r="426" spans="3:6" x14ac:dyDescent="0.25">
      <c r="C426" s="53"/>
      <c r="D426" s="66"/>
      <c r="E426" s="66"/>
      <c r="F426" s="66"/>
    </row>
    <row r="427" spans="3:6" x14ac:dyDescent="0.25">
      <c r="C427" s="53"/>
      <c r="D427" s="66"/>
      <c r="E427" s="66"/>
      <c r="F427" s="66"/>
    </row>
    <row r="428" spans="3:6" x14ac:dyDescent="0.25">
      <c r="C428" s="53"/>
      <c r="D428" s="66"/>
      <c r="E428" s="66"/>
      <c r="F428" s="66"/>
    </row>
    <row r="429" spans="3:6" x14ac:dyDescent="0.25">
      <c r="C429" s="53"/>
      <c r="D429" s="66"/>
      <c r="E429" s="66"/>
      <c r="F429" s="66"/>
    </row>
    <row r="430" spans="3:6" x14ac:dyDescent="0.25">
      <c r="C430" s="53"/>
      <c r="D430" s="66"/>
      <c r="E430" s="66"/>
      <c r="F430" s="66"/>
    </row>
    <row r="431" spans="3:6" x14ac:dyDescent="0.25">
      <c r="C431" s="53"/>
      <c r="D431" s="66"/>
      <c r="E431" s="66"/>
      <c r="F431" s="66"/>
    </row>
    <row r="432" spans="3:6" x14ac:dyDescent="0.25">
      <c r="C432" s="53"/>
      <c r="D432" s="66"/>
      <c r="E432" s="66"/>
      <c r="F432" s="66"/>
    </row>
    <row r="433" spans="3:6" x14ac:dyDescent="0.25">
      <c r="C433" s="53"/>
      <c r="D433" s="66"/>
      <c r="E433" s="66"/>
      <c r="F433" s="66"/>
    </row>
    <row r="434" spans="3:6" x14ac:dyDescent="0.25">
      <c r="C434" s="53"/>
      <c r="D434" s="66"/>
      <c r="E434" s="66"/>
      <c r="F434" s="66"/>
    </row>
    <row r="435" spans="3:6" x14ac:dyDescent="0.25">
      <c r="C435" s="53"/>
      <c r="D435" s="66"/>
      <c r="E435" s="66"/>
      <c r="F435" s="66"/>
    </row>
    <row r="436" spans="3:6" x14ac:dyDescent="0.25">
      <c r="C436" s="53"/>
      <c r="D436" s="66"/>
      <c r="E436" s="66"/>
      <c r="F436" s="66"/>
    </row>
    <row r="437" spans="3:6" x14ac:dyDescent="0.25">
      <c r="C437" s="53"/>
      <c r="D437" s="66"/>
      <c r="E437" s="66"/>
      <c r="F437" s="66"/>
    </row>
    <row r="438" spans="3:6" x14ac:dyDescent="0.25">
      <c r="C438" s="53"/>
      <c r="D438" s="66"/>
      <c r="E438" s="66"/>
      <c r="F438" s="66"/>
    </row>
    <row r="439" spans="3:6" x14ac:dyDescent="0.25">
      <c r="C439" s="53"/>
      <c r="D439" s="66"/>
      <c r="E439" s="66"/>
      <c r="F439" s="66"/>
    </row>
    <row r="440" spans="3:6" x14ac:dyDescent="0.25">
      <c r="C440" s="53"/>
      <c r="D440" s="66"/>
      <c r="E440" s="66"/>
      <c r="F440" s="66"/>
    </row>
    <row r="441" spans="3:6" x14ac:dyDescent="0.25">
      <c r="C441" s="53"/>
      <c r="D441" s="66"/>
      <c r="E441" s="66"/>
      <c r="F441" s="66"/>
    </row>
    <row r="442" spans="3:6" x14ac:dyDescent="0.25">
      <c r="C442" s="53"/>
      <c r="D442" s="66"/>
      <c r="E442" s="66"/>
      <c r="F442" s="66"/>
    </row>
    <row r="443" spans="3:6" x14ac:dyDescent="0.25">
      <c r="C443" s="53"/>
      <c r="D443" s="66"/>
      <c r="E443" s="66"/>
      <c r="F443" s="66"/>
    </row>
    <row r="444" spans="3:6" x14ac:dyDescent="0.25">
      <c r="C444" s="53"/>
      <c r="D444" s="66"/>
      <c r="E444" s="66"/>
      <c r="F444" s="66"/>
    </row>
    <row r="445" spans="3:6" x14ac:dyDescent="0.25">
      <c r="C445" s="53"/>
      <c r="D445" s="66"/>
      <c r="E445" s="66"/>
      <c r="F445" s="66"/>
    </row>
    <row r="446" spans="3:6" x14ac:dyDescent="0.25">
      <c r="C446" s="53"/>
      <c r="D446" s="66"/>
      <c r="E446" s="66"/>
      <c r="F446" s="66"/>
    </row>
    <row r="447" spans="3:6" x14ac:dyDescent="0.25">
      <c r="C447" s="53"/>
      <c r="D447" s="66"/>
      <c r="E447" s="66"/>
      <c r="F447" s="66"/>
    </row>
    <row r="448" spans="3:6" x14ac:dyDescent="0.25">
      <c r="C448" s="53"/>
      <c r="D448" s="66"/>
      <c r="E448" s="66"/>
      <c r="F448" s="66"/>
    </row>
    <row r="449" spans="3:6" x14ac:dyDescent="0.25">
      <c r="C449" s="53"/>
      <c r="D449" s="66"/>
      <c r="E449" s="66"/>
      <c r="F449" s="66"/>
    </row>
    <row r="450" spans="3:6" x14ac:dyDescent="0.25">
      <c r="C450" s="53"/>
      <c r="D450" s="66"/>
      <c r="E450" s="66"/>
      <c r="F450" s="66"/>
    </row>
    <row r="451" spans="3:6" x14ac:dyDescent="0.25">
      <c r="C451" s="53"/>
      <c r="D451" s="66"/>
      <c r="E451" s="66"/>
      <c r="F451" s="66"/>
    </row>
    <row r="452" spans="3:6" x14ac:dyDescent="0.25">
      <c r="C452" s="53"/>
      <c r="D452" s="66"/>
      <c r="E452" s="66"/>
      <c r="F452" s="66"/>
    </row>
    <row r="453" spans="3:6" x14ac:dyDescent="0.25">
      <c r="C453" s="53"/>
      <c r="D453" s="66"/>
      <c r="E453" s="66"/>
      <c r="F453" s="66"/>
    </row>
    <row r="454" spans="3:6" x14ac:dyDescent="0.25">
      <c r="C454" s="53"/>
      <c r="D454" s="66"/>
      <c r="E454" s="66"/>
      <c r="F454" s="66"/>
    </row>
    <row r="455" spans="3:6" x14ac:dyDescent="0.25">
      <c r="C455" s="53"/>
      <c r="D455" s="66"/>
      <c r="E455" s="66"/>
      <c r="F455" s="66"/>
    </row>
    <row r="456" spans="3:6" x14ac:dyDescent="0.25">
      <c r="C456" s="53"/>
      <c r="D456" s="66"/>
      <c r="E456" s="66"/>
      <c r="F456" s="66"/>
    </row>
    <row r="457" spans="3:6" x14ac:dyDescent="0.25">
      <c r="C457" s="53"/>
      <c r="D457" s="66"/>
      <c r="E457" s="66"/>
      <c r="F457" s="66"/>
    </row>
    <row r="458" spans="3:6" x14ac:dyDescent="0.25">
      <c r="C458" s="53"/>
      <c r="D458" s="66"/>
      <c r="E458" s="66"/>
      <c r="F458" s="66"/>
    </row>
    <row r="459" spans="3:6" x14ac:dyDescent="0.25">
      <c r="C459" s="53"/>
      <c r="D459" s="66"/>
      <c r="E459" s="66"/>
      <c r="F459" s="66"/>
    </row>
    <row r="460" spans="3:6" x14ac:dyDescent="0.25">
      <c r="C460" s="53"/>
      <c r="D460" s="66"/>
      <c r="E460" s="66"/>
      <c r="F460" s="66"/>
    </row>
    <row r="461" spans="3:6" x14ac:dyDescent="0.25">
      <c r="C461" s="53"/>
      <c r="D461" s="66"/>
      <c r="E461" s="66"/>
      <c r="F461" s="66"/>
    </row>
    <row r="462" spans="3:6" x14ac:dyDescent="0.25">
      <c r="C462" s="53"/>
      <c r="D462" s="66"/>
      <c r="E462" s="66"/>
      <c r="F462" s="66"/>
    </row>
    <row r="463" spans="3:6" x14ac:dyDescent="0.25">
      <c r="C463" s="53"/>
      <c r="D463" s="66"/>
      <c r="E463" s="66"/>
      <c r="F463" s="66"/>
    </row>
    <row r="464" spans="3:6" x14ac:dyDescent="0.25">
      <c r="C464" s="53"/>
      <c r="D464" s="66"/>
      <c r="E464" s="66"/>
      <c r="F464" s="66"/>
    </row>
    <row r="465" spans="3:6" x14ac:dyDescent="0.25">
      <c r="C465" s="53"/>
      <c r="D465" s="66"/>
      <c r="E465" s="66"/>
      <c r="F465" s="66"/>
    </row>
    <row r="466" spans="3:6" x14ac:dyDescent="0.25">
      <c r="C466" s="53"/>
      <c r="D466" s="66"/>
      <c r="E466" s="66"/>
      <c r="F466" s="66"/>
    </row>
    <row r="467" spans="3:6" x14ac:dyDescent="0.25">
      <c r="C467" s="53"/>
      <c r="D467" s="66"/>
      <c r="E467" s="66"/>
      <c r="F467" s="66"/>
    </row>
    <row r="468" spans="3:6" x14ac:dyDescent="0.25">
      <c r="C468" s="53"/>
      <c r="D468" s="66"/>
      <c r="E468" s="66"/>
      <c r="F468" s="66"/>
    </row>
    <row r="469" spans="3:6" x14ac:dyDescent="0.25">
      <c r="C469" s="53"/>
      <c r="D469" s="66"/>
      <c r="E469" s="66"/>
      <c r="F469" s="66"/>
    </row>
    <row r="470" spans="3:6" x14ac:dyDescent="0.25">
      <c r="C470" s="53"/>
      <c r="D470" s="66"/>
      <c r="E470" s="66"/>
      <c r="F470" s="66"/>
    </row>
    <row r="471" spans="3:6" x14ac:dyDescent="0.25">
      <c r="C471" s="53"/>
      <c r="D471" s="66"/>
      <c r="E471" s="66"/>
      <c r="F471" s="66"/>
    </row>
    <row r="472" spans="3:6" x14ac:dyDescent="0.25">
      <c r="C472" s="53"/>
      <c r="D472" s="66"/>
      <c r="E472" s="66"/>
      <c r="F472" s="66"/>
    </row>
    <row r="473" spans="3:6" x14ac:dyDescent="0.25">
      <c r="C473" s="53"/>
      <c r="D473" s="66"/>
      <c r="E473" s="66"/>
      <c r="F473" s="66"/>
    </row>
    <row r="474" spans="3:6" x14ac:dyDescent="0.25">
      <c r="C474" s="53"/>
      <c r="D474" s="66"/>
      <c r="E474" s="66"/>
      <c r="F474" s="66"/>
    </row>
    <row r="475" spans="3:6" x14ac:dyDescent="0.25">
      <c r="C475" s="53"/>
      <c r="D475" s="66"/>
      <c r="E475" s="66"/>
      <c r="F475" s="66"/>
    </row>
    <row r="476" spans="3:6" x14ac:dyDescent="0.25">
      <c r="C476" s="53"/>
      <c r="D476" s="66"/>
      <c r="E476" s="66"/>
      <c r="F476" s="66"/>
    </row>
    <row r="477" spans="3:6" x14ac:dyDescent="0.25">
      <c r="C477" s="53"/>
      <c r="D477" s="66"/>
      <c r="E477" s="66"/>
      <c r="F477" s="66"/>
    </row>
    <row r="478" spans="3:6" x14ac:dyDescent="0.25">
      <c r="C478" s="53"/>
      <c r="D478" s="66"/>
      <c r="E478" s="66"/>
      <c r="F478" s="66"/>
    </row>
    <row r="479" spans="3:6" x14ac:dyDescent="0.25">
      <c r="C479" s="53"/>
      <c r="D479" s="66"/>
      <c r="E479" s="66"/>
      <c r="F479" s="66"/>
    </row>
    <row r="480" spans="3:6" x14ac:dyDescent="0.25">
      <c r="C480" s="53"/>
      <c r="D480" s="66"/>
      <c r="E480" s="66"/>
      <c r="F480" s="66"/>
    </row>
    <row r="481" spans="3:6" x14ac:dyDescent="0.25">
      <c r="C481" s="53"/>
      <c r="D481" s="66"/>
      <c r="E481" s="66"/>
      <c r="F481" s="66"/>
    </row>
    <row r="482" spans="3:6" x14ac:dyDescent="0.25">
      <c r="C482" s="53"/>
      <c r="D482" s="66"/>
      <c r="E482" s="66"/>
      <c r="F482" s="66"/>
    </row>
    <row r="483" spans="3:6" x14ac:dyDescent="0.25">
      <c r="C483" s="53"/>
      <c r="D483" s="66"/>
      <c r="E483" s="66"/>
      <c r="F483" s="66"/>
    </row>
    <row r="484" spans="3:6" x14ac:dyDescent="0.25">
      <c r="C484" s="53"/>
      <c r="D484" s="66"/>
      <c r="E484" s="66"/>
      <c r="F484" s="66"/>
    </row>
    <row r="485" spans="3:6" x14ac:dyDescent="0.25">
      <c r="C485" s="53"/>
      <c r="D485" s="66"/>
      <c r="E485" s="66"/>
      <c r="F485" s="66"/>
    </row>
    <row r="486" spans="3:6" x14ac:dyDescent="0.25">
      <c r="C486" s="53"/>
      <c r="D486" s="66"/>
      <c r="E486" s="66"/>
      <c r="F486" s="66"/>
    </row>
    <row r="487" spans="3:6" x14ac:dyDescent="0.25">
      <c r="C487" s="53"/>
      <c r="D487" s="66"/>
      <c r="E487" s="66"/>
      <c r="F487" s="66"/>
    </row>
    <row r="488" spans="3:6" x14ac:dyDescent="0.25">
      <c r="C488" s="53"/>
      <c r="D488" s="66"/>
      <c r="E488" s="66"/>
      <c r="F488" s="66"/>
    </row>
    <row r="489" spans="3:6" x14ac:dyDescent="0.25">
      <c r="C489" s="53"/>
      <c r="D489" s="66"/>
      <c r="E489" s="66"/>
      <c r="F489" s="66"/>
    </row>
    <row r="490" spans="3:6" x14ac:dyDescent="0.25">
      <c r="C490" s="53"/>
      <c r="D490" s="66"/>
      <c r="E490" s="66"/>
      <c r="F490" s="66"/>
    </row>
    <row r="491" spans="3:6" x14ac:dyDescent="0.25">
      <c r="C491" s="53"/>
      <c r="D491" s="66"/>
      <c r="E491" s="66"/>
      <c r="F491" s="66"/>
    </row>
    <row r="492" spans="3:6" x14ac:dyDescent="0.25">
      <c r="C492" s="53"/>
      <c r="D492" s="66"/>
      <c r="E492" s="66"/>
      <c r="F492" s="66"/>
    </row>
    <row r="493" spans="3:6" x14ac:dyDescent="0.25">
      <c r="C493" s="53"/>
      <c r="D493" s="66"/>
      <c r="E493" s="66"/>
      <c r="F493" s="66"/>
    </row>
    <row r="494" spans="3:6" x14ac:dyDescent="0.25">
      <c r="C494" s="53"/>
      <c r="D494" s="66"/>
      <c r="E494" s="66"/>
      <c r="F494" s="66"/>
    </row>
    <row r="495" spans="3:6" x14ac:dyDescent="0.25">
      <c r="C495" s="53"/>
      <c r="D495" s="66"/>
      <c r="E495" s="66"/>
      <c r="F495" s="66"/>
    </row>
    <row r="496" spans="3:6" x14ac:dyDescent="0.25">
      <c r="C496" s="53"/>
      <c r="D496" s="66"/>
      <c r="E496" s="66"/>
      <c r="F496" s="66"/>
    </row>
    <row r="497" spans="3:6" x14ac:dyDescent="0.25">
      <c r="C497" s="53"/>
      <c r="D497" s="66"/>
      <c r="E497" s="66"/>
      <c r="F497" s="66"/>
    </row>
    <row r="498" spans="3:6" x14ac:dyDescent="0.25">
      <c r="C498" s="53"/>
      <c r="D498" s="66"/>
      <c r="E498" s="66"/>
      <c r="F498" s="66"/>
    </row>
    <row r="499" spans="3:6" x14ac:dyDescent="0.25">
      <c r="C499" s="53"/>
      <c r="D499" s="66"/>
      <c r="E499" s="66"/>
      <c r="F499" s="66"/>
    </row>
    <row r="500" spans="3:6" x14ac:dyDescent="0.25">
      <c r="C500" s="53"/>
      <c r="D500" s="66"/>
      <c r="E500" s="66"/>
      <c r="F500" s="66"/>
    </row>
    <row r="501" spans="3:6" x14ac:dyDescent="0.25">
      <c r="C501" s="53"/>
      <c r="D501" s="66"/>
      <c r="E501" s="66"/>
      <c r="F501" s="66"/>
    </row>
    <row r="502" spans="3:6" x14ac:dyDescent="0.25">
      <c r="C502" s="53"/>
      <c r="D502" s="66"/>
      <c r="E502" s="66"/>
      <c r="F502" s="66"/>
    </row>
    <row r="503" spans="3:6" x14ac:dyDescent="0.25">
      <c r="C503" s="53"/>
      <c r="D503" s="66"/>
      <c r="E503" s="66"/>
      <c r="F503" s="66"/>
    </row>
    <row r="504" spans="3:6" x14ac:dyDescent="0.25">
      <c r="C504" s="53"/>
      <c r="D504" s="66"/>
      <c r="E504" s="66"/>
      <c r="F504" s="66"/>
    </row>
    <row r="505" spans="3:6" x14ac:dyDescent="0.25">
      <c r="C505" s="53"/>
      <c r="D505" s="66"/>
      <c r="E505" s="66"/>
      <c r="F505" s="66"/>
    </row>
    <row r="506" spans="3:6" x14ac:dyDescent="0.25">
      <c r="C506" s="53"/>
      <c r="D506" s="66"/>
      <c r="E506" s="66"/>
      <c r="F506" s="66"/>
    </row>
    <row r="507" spans="3:6" x14ac:dyDescent="0.25">
      <c r="C507" s="53"/>
      <c r="D507" s="66"/>
      <c r="E507" s="66"/>
      <c r="F507" s="66"/>
    </row>
    <row r="508" spans="3:6" x14ac:dyDescent="0.25">
      <c r="C508" s="53"/>
      <c r="D508" s="66"/>
      <c r="E508" s="66"/>
      <c r="F508" s="66"/>
    </row>
    <row r="509" spans="3:6" x14ac:dyDescent="0.25">
      <c r="C509" s="53"/>
      <c r="D509" s="66"/>
      <c r="E509" s="66"/>
      <c r="F509" s="66"/>
    </row>
    <row r="510" spans="3:6" x14ac:dyDescent="0.25">
      <c r="C510" s="53"/>
      <c r="D510" s="66"/>
      <c r="E510" s="66"/>
      <c r="F510" s="66"/>
    </row>
    <row r="511" spans="3:6" x14ac:dyDescent="0.25">
      <c r="C511" s="53"/>
      <c r="D511" s="66"/>
      <c r="E511" s="66"/>
      <c r="F511" s="66"/>
    </row>
    <row r="512" spans="3:6" x14ac:dyDescent="0.25">
      <c r="C512" s="53"/>
      <c r="D512" s="66"/>
      <c r="E512" s="66"/>
      <c r="F512" s="66"/>
    </row>
    <row r="513" spans="3:6" x14ac:dyDescent="0.25">
      <c r="C513" s="53"/>
      <c r="D513" s="66"/>
      <c r="E513" s="66"/>
      <c r="F513" s="66"/>
    </row>
    <row r="514" spans="3:6" x14ac:dyDescent="0.25">
      <c r="C514" s="53"/>
      <c r="D514" s="66"/>
      <c r="E514" s="66"/>
      <c r="F514" s="66"/>
    </row>
    <row r="515" spans="3:6" x14ac:dyDescent="0.25">
      <c r="C515" s="53"/>
      <c r="D515" s="66"/>
      <c r="E515" s="66"/>
      <c r="F515" s="66"/>
    </row>
    <row r="516" spans="3:6" x14ac:dyDescent="0.25">
      <c r="C516" s="53"/>
      <c r="D516" s="66"/>
      <c r="E516" s="66"/>
      <c r="F516" s="66"/>
    </row>
    <row r="517" spans="3:6" x14ac:dyDescent="0.25">
      <c r="C517" s="53"/>
      <c r="D517" s="66"/>
      <c r="E517" s="66"/>
      <c r="F517" s="66"/>
    </row>
    <row r="518" spans="3:6" x14ac:dyDescent="0.25">
      <c r="C518" s="53"/>
      <c r="D518" s="66"/>
      <c r="E518" s="66"/>
      <c r="F518" s="66"/>
    </row>
    <row r="519" spans="3:6" x14ac:dyDescent="0.25">
      <c r="C519" s="53"/>
      <c r="D519" s="66"/>
      <c r="E519" s="66"/>
      <c r="F519" s="66"/>
    </row>
    <row r="520" spans="3:6" x14ac:dyDescent="0.25">
      <c r="C520" s="53"/>
      <c r="D520" s="66"/>
      <c r="E520" s="66"/>
      <c r="F520" s="66"/>
    </row>
    <row r="521" spans="3:6" x14ac:dyDescent="0.25">
      <c r="C521" s="53"/>
      <c r="D521" s="66"/>
      <c r="E521" s="66"/>
      <c r="F521" s="66"/>
    </row>
    <row r="522" spans="3:6" x14ac:dyDescent="0.25">
      <c r="C522" s="53"/>
      <c r="D522" s="66"/>
      <c r="E522" s="66"/>
      <c r="F522" s="66"/>
    </row>
    <row r="523" spans="3:6" x14ac:dyDescent="0.25">
      <c r="C523" s="53"/>
      <c r="D523" s="66"/>
      <c r="E523" s="66"/>
      <c r="F523" s="66"/>
    </row>
    <row r="524" spans="3:6" x14ac:dyDescent="0.25">
      <c r="C524" s="53"/>
      <c r="D524" s="66"/>
      <c r="E524" s="66"/>
      <c r="F524" s="66"/>
    </row>
    <row r="525" spans="3:6" x14ac:dyDescent="0.25">
      <c r="C525" s="53"/>
      <c r="D525" s="66"/>
      <c r="E525" s="66"/>
      <c r="F525" s="66"/>
    </row>
    <row r="526" spans="3:6" x14ac:dyDescent="0.25">
      <c r="C526" s="53"/>
      <c r="D526" s="66"/>
      <c r="E526" s="66"/>
      <c r="F526" s="66"/>
    </row>
    <row r="527" spans="3:6" x14ac:dyDescent="0.25">
      <c r="C527" s="53"/>
      <c r="D527" s="66"/>
      <c r="E527" s="66"/>
      <c r="F527" s="66"/>
    </row>
    <row r="528" spans="3:6" x14ac:dyDescent="0.25">
      <c r="C528" s="53"/>
      <c r="D528" s="66"/>
      <c r="E528" s="66"/>
      <c r="F528" s="66"/>
    </row>
    <row r="529" spans="3:6" x14ac:dyDescent="0.25">
      <c r="C529" s="53"/>
      <c r="D529" s="66"/>
      <c r="E529" s="66"/>
      <c r="F529" s="66"/>
    </row>
    <row r="530" spans="3:6" x14ac:dyDescent="0.25">
      <c r="C530" s="53"/>
      <c r="D530" s="66"/>
      <c r="E530" s="66"/>
      <c r="F530" s="66"/>
    </row>
    <row r="531" spans="3:6" x14ac:dyDescent="0.25">
      <c r="C531" s="53"/>
      <c r="D531" s="66"/>
      <c r="E531" s="66"/>
      <c r="F531" s="66"/>
    </row>
    <row r="532" spans="3:6" x14ac:dyDescent="0.25">
      <c r="C532" s="53"/>
      <c r="D532" s="66"/>
      <c r="E532" s="66"/>
      <c r="F532" s="66"/>
    </row>
    <row r="533" spans="3:6" x14ac:dyDescent="0.25">
      <c r="C533" s="53"/>
      <c r="D533" s="66"/>
      <c r="E533" s="66"/>
      <c r="F533" s="66"/>
    </row>
    <row r="534" spans="3:6" x14ac:dyDescent="0.25">
      <c r="C534" s="53"/>
      <c r="D534" s="66"/>
      <c r="E534" s="66"/>
      <c r="F534" s="66"/>
    </row>
    <row r="535" spans="3:6" x14ac:dyDescent="0.25">
      <c r="C535" s="53"/>
      <c r="D535" s="66"/>
      <c r="E535" s="66"/>
      <c r="F535" s="66"/>
    </row>
    <row r="536" spans="3:6" x14ac:dyDescent="0.25">
      <c r="C536" s="53"/>
      <c r="D536" s="66"/>
      <c r="E536" s="66"/>
      <c r="F536" s="66"/>
    </row>
    <row r="537" spans="3:6" x14ac:dyDescent="0.25">
      <c r="C537" s="53"/>
      <c r="D537" s="66"/>
      <c r="E537" s="66"/>
      <c r="F537" s="66"/>
    </row>
    <row r="538" spans="3:6" x14ac:dyDescent="0.25">
      <c r="C538" s="53"/>
      <c r="D538" s="66"/>
      <c r="E538" s="66"/>
      <c r="F538" s="66"/>
    </row>
    <row r="539" spans="3:6" x14ac:dyDescent="0.25">
      <c r="C539" s="53"/>
      <c r="D539" s="66"/>
      <c r="E539" s="66"/>
      <c r="F539" s="66"/>
    </row>
    <row r="540" spans="3:6" x14ac:dyDescent="0.25">
      <c r="C540" s="53"/>
      <c r="D540" s="66"/>
      <c r="E540" s="66"/>
      <c r="F540" s="66"/>
    </row>
    <row r="541" spans="3:6" x14ac:dyDescent="0.25">
      <c r="C541" s="53"/>
      <c r="D541" s="66"/>
      <c r="E541" s="66"/>
      <c r="F541" s="66"/>
    </row>
    <row r="542" spans="3:6" x14ac:dyDescent="0.25">
      <c r="C542" s="53"/>
      <c r="D542" s="66"/>
      <c r="E542" s="66"/>
      <c r="F542" s="66"/>
    </row>
    <row r="543" spans="3:6" x14ac:dyDescent="0.25">
      <c r="C543" s="53"/>
      <c r="D543" s="66"/>
      <c r="E543" s="66"/>
      <c r="F543" s="66"/>
    </row>
    <row r="544" spans="3:6" x14ac:dyDescent="0.25">
      <c r="C544" s="53"/>
      <c r="D544" s="66"/>
      <c r="E544" s="66"/>
      <c r="F544" s="66"/>
    </row>
    <row r="545" spans="3:6" x14ac:dyDescent="0.25">
      <c r="C545" s="53"/>
      <c r="D545" s="66"/>
      <c r="E545" s="66"/>
      <c r="F545" s="66"/>
    </row>
    <row r="546" spans="3:6" x14ac:dyDescent="0.25">
      <c r="C546" s="53"/>
      <c r="D546" s="66"/>
      <c r="E546" s="66"/>
      <c r="F546" s="66"/>
    </row>
    <row r="547" spans="3:6" x14ac:dyDescent="0.25">
      <c r="C547" s="53"/>
      <c r="D547" s="66"/>
      <c r="E547" s="66"/>
      <c r="F547" s="66"/>
    </row>
    <row r="548" spans="3:6" x14ac:dyDescent="0.25">
      <c r="C548" s="53"/>
      <c r="D548" s="66"/>
      <c r="E548" s="66"/>
      <c r="F548" s="66"/>
    </row>
    <row r="549" spans="3:6" x14ac:dyDescent="0.25">
      <c r="C549" s="53"/>
      <c r="D549" s="66"/>
      <c r="E549" s="66"/>
      <c r="F549" s="66"/>
    </row>
    <row r="550" spans="3:6" x14ac:dyDescent="0.25">
      <c r="C550" s="53"/>
      <c r="D550" s="66"/>
      <c r="E550" s="66"/>
      <c r="F550" s="66"/>
    </row>
    <row r="551" spans="3:6" x14ac:dyDescent="0.25">
      <c r="C551" s="53"/>
      <c r="D551" s="66"/>
      <c r="E551" s="66"/>
      <c r="F551" s="66"/>
    </row>
    <row r="552" spans="3:6" x14ac:dyDescent="0.25">
      <c r="C552" s="53"/>
      <c r="D552" s="66"/>
      <c r="E552" s="66"/>
      <c r="F552" s="66"/>
    </row>
    <row r="553" spans="3:6" x14ac:dyDescent="0.25">
      <c r="C553" s="53"/>
      <c r="D553" s="66"/>
      <c r="E553" s="66"/>
      <c r="F553" s="66"/>
    </row>
    <row r="554" spans="3:6" x14ac:dyDescent="0.25">
      <c r="C554" s="53"/>
      <c r="D554" s="66"/>
      <c r="E554" s="66"/>
      <c r="F554" s="66"/>
    </row>
    <row r="555" spans="3:6" x14ac:dyDescent="0.25">
      <c r="C555" s="53"/>
      <c r="D555" s="66"/>
      <c r="E555" s="66"/>
      <c r="F555" s="66"/>
    </row>
    <row r="556" spans="3:6" x14ac:dyDescent="0.25">
      <c r="C556" s="53"/>
      <c r="D556" s="66"/>
      <c r="E556" s="66"/>
      <c r="F556" s="66"/>
    </row>
    <row r="557" spans="3:6" x14ac:dyDescent="0.25">
      <c r="C557" s="53"/>
      <c r="D557" s="66"/>
      <c r="E557" s="66"/>
      <c r="F557" s="66"/>
    </row>
    <row r="558" spans="3:6" x14ac:dyDescent="0.25">
      <c r="C558" s="53"/>
      <c r="D558" s="66"/>
      <c r="E558" s="66"/>
      <c r="F558" s="66"/>
    </row>
    <row r="559" spans="3:6" x14ac:dyDescent="0.25">
      <c r="C559" s="53"/>
      <c r="D559" s="66"/>
      <c r="E559" s="66"/>
      <c r="F559" s="66"/>
    </row>
    <row r="560" spans="3:6" x14ac:dyDescent="0.25">
      <c r="C560" s="53"/>
      <c r="D560" s="66"/>
      <c r="E560" s="66"/>
      <c r="F560" s="66"/>
    </row>
    <row r="561" spans="3:6" x14ac:dyDescent="0.25">
      <c r="C561" s="53"/>
      <c r="D561" s="66"/>
      <c r="E561" s="66"/>
      <c r="F561" s="66"/>
    </row>
    <row r="562" spans="3:6" x14ac:dyDescent="0.25">
      <c r="C562" s="53"/>
      <c r="D562" s="66"/>
      <c r="E562" s="66"/>
      <c r="F562" s="66"/>
    </row>
    <row r="563" spans="3:6" x14ac:dyDescent="0.25">
      <c r="C563" s="53"/>
      <c r="D563" s="66"/>
      <c r="E563" s="66"/>
      <c r="F563" s="66"/>
    </row>
    <row r="564" spans="3:6" x14ac:dyDescent="0.25">
      <c r="C564" s="53"/>
      <c r="D564" s="66"/>
      <c r="E564" s="66"/>
      <c r="F564" s="66"/>
    </row>
    <row r="565" spans="3:6" x14ac:dyDescent="0.25">
      <c r="C565" s="53"/>
      <c r="D565" s="66"/>
      <c r="E565" s="66"/>
      <c r="F565" s="66"/>
    </row>
    <row r="566" spans="3:6" x14ac:dyDescent="0.25">
      <c r="C566" s="53"/>
      <c r="D566" s="66"/>
      <c r="E566" s="66"/>
      <c r="F566" s="66"/>
    </row>
    <row r="567" spans="3:6" x14ac:dyDescent="0.25">
      <c r="C567" s="53"/>
      <c r="D567" s="66"/>
      <c r="E567" s="66"/>
      <c r="F567" s="66"/>
    </row>
    <row r="568" spans="3:6" x14ac:dyDescent="0.25">
      <c r="C568" s="53"/>
      <c r="D568" s="66"/>
      <c r="E568" s="66"/>
      <c r="F568" s="66"/>
    </row>
    <row r="569" spans="3:6" x14ac:dyDescent="0.25">
      <c r="C569" s="53"/>
      <c r="D569" s="66"/>
      <c r="E569" s="66"/>
      <c r="F569" s="66"/>
    </row>
    <row r="570" spans="3:6" x14ac:dyDescent="0.25">
      <c r="C570" s="53"/>
      <c r="D570" s="66"/>
      <c r="E570" s="66"/>
      <c r="F570" s="66"/>
    </row>
    <row r="571" spans="3:6" x14ac:dyDescent="0.25">
      <c r="C571" s="53"/>
      <c r="D571" s="66"/>
      <c r="E571" s="66"/>
      <c r="F571" s="66"/>
    </row>
    <row r="572" spans="3:6" x14ac:dyDescent="0.25">
      <c r="C572" s="53"/>
      <c r="D572" s="66"/>
      <c r="E572" s="66"/>
      <c r="F572" s="66"/>
    </row>
    <row r="573" spans="3:6" x14ac:dyDescent="0.25">
      <c r="C573" s="53"/>
      <c r="D573" s="66"/>
      <c r="E573" s="66"/>
      <c r="F573" s="66"/>
    </row>
    <row r="574" spans="3:6" x14ac:dyDescent="0.25">
      <c r="C574" s="53"/>
      <c r="D574" s="66"/>
      <c r="E574" s="66"/>
      <c r="F574" s="66"/>
    </row>
    <row r="575" spans="3:6" x14ac:dyDescent="0.25">
      <c r="C575" s="53"/>
      <c r="D575" s="66"/>
      <c r="E575" s="66"/>
      <c r="F575" s="66"/>
    </row>
    <row r="576" spans="3:6" x14ac:dyDescent="0.25">
      <c r="C576" s="53"/>
      <c r="D576" s="66"/>
      <c r="E576" s="66"/>
      <c r="F576" s="66"/>
    </row>
  </sheetData>
  <phoneticPr fontId="13"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6D0E1CF1C45584E9451F38C84714574" ma:contentTypeVersion="6" ma:contentTypeDescription="Create a new document." ma:contentTypeScope="" ma:versionID="2a80346b546a5198bb9c3c047e12ae83">
  <xsd:schema xmlns:xsd="http://www.w3.org/2001/XMLSchema" xmlns:xs="http://www.w3.org/2001/XMLSchema" xmlns:p="http://schemas.microsoft.com/office/2006/metadata/properties" xmlns:ns2="7433160e-75a8-4d73-ba69-139b9e7429af" xmlns:ns3="c084f919-a14e-472f-a02f-157c3c0cd0ac" targetNamespace="http://schemas.microsoft.com/office/2006/metadata/properties" ma:root="true" ma:fieldsID="a7e0a099fe9621c9d6dae51008adfafc" ns2:_="" ns3:_="">
    <xsd:import namespace="7433160e-75a8-4d73-ba69-139b9e7429af"/>
    <xsd:import namespace="c084f919-a14e-472f-a02f-157c3c0cd0a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33160e-75a8-4d73-ba69-139b9e7429a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84f919-a14e-472f-a02f-157c3c0cd0a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8F1F79D5-AB9A-443D-8C87-D8040B17BBFD}">
  <ds:schemaRefs>
    <ds:schemaRef ds:uri="http://schemas.microsoft.com/sharepoint/v3/contenttype/forms"/>
  </ds:schemaRefs>
</ds:datastoreItem>
</file>

<file path=customXml/itemProps2.xml><?xml version="1.0" encoding="utf-8"?>
<ds:datastoreItem xmlns:ds="http://schemas.openxmlformats.org/officeDocument/2006/customXml" ds:itemID="{186DD765-F9C0-452E-88AA-AA269B819764}">
  <ds:schemaRefs>
    <ds:schemaRef ds:uri="http://purl.org/dc/elements/1.1/"/>
    <ds:schemaRef ds:uri="http://schemas.microsoft.com/office/2006/metadata/properties"/>
    <ds:schemaRef ds:uri="7433160e-75a8-4d73-ba69-139b9e7429af"/>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084f919-a14e-472f-a02f-157c3c0cd0ac"/>
    <ds:schemaRef ds:uri="http://www.w3.org/XML/1998/namespace"/>
    <ds:schemaRef ds:uri="http://purl.org/dc/dcmitype/"/>
  </ds:schemaRefs>
</ds:datastoreItem>
</file>

<file path=customXml/itemProps3.xml><?xml version="1.0" encoding="utf-8"?>
<ds:datastoreItem xmlns:ds="http://schemas.openxmlformats.org/officeDocument/2006/customXml" ds:itemID="{757E75B5-5DC1-41E5-A7D6-E9C0EA7E7E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33160e-75a8-4d73-ba69-139b9e7429af"/>
    <ds:schemaRef ds:uri="c084f919-a14e-472f-a02f-157c3c0cd0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DB0EC2E-4A60-43E1-92B9-C44C34DFF0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 Requested Forecasts</vt:lpstr>
      <vt:lpstr>FTE Req</vt:lpstr>
      <vt:lpstr>Volume Summary</vt:lpstr>
      <vt:lpstr>Formula Info</vt:lpstr>
      <vt:lpstr>Dist</vt:lpstr>
      <vt:lpstr>Pivot Tables</vt:lpstr>
      <vt:lpstr>December by Interval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 Dacosta</dc:creator>
  <cp:keywords/>
  <dc:description/>
  <cp:lastModifiedBy>Andre DaCosta</cp:lastModifiedBy>
  <cp:revision/>
  <dcterms:created xsi:type="dcterms:W3CDTF">2006-09-16T00:00:00Z</dcterms:created>
  <dcterms:modified xsi:type="dcterms:W3CDTF">2026-07-13T03:38:06Z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0x010100E6D0E1CF1C45584E9451F38C84714574</vt:lpwstr>
  </property>
</Properties>
</file>